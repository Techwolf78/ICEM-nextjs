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 drive\BOS Meeting\5th BOS Meeting 22-06-2026\Syllabus &amp; Structure\"/>
    </mc:Choice>
  </mc:AlternateContent>
  <xr:revisionPtr revIDLastSave="0" documentId="13_ncr:1_{1D98D147-35B2-4BD3-8C12-ADE8B8A68B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mester I" sheetId="1" r:id="rId1"/>
    <sheet name="Semester II" sheetId="2" r:id="rId2"/>
  </sheets>
  <definedNames>
    <definedName name="_xlnm.Print_Area" localSheetId="0">'Semester I'!$A$1:$O$51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N13" i="2"/>
  <c r="J13" i="2"/>
  <c r="I13" i="2"/>
  <c r="N16" i="1"/>
  <c r="K16" i="1"/>
</calcChain>
</file>

<file path=xl/sharedStrings.xml><?xml version="1.0" encoding="utf-8"?>
<sst xmlns="http://schemas.openxmlformats.org/spreadsheetml/2006/main" count="263" uniqueCount="162">
  <si>
    <t>Indira College of Engineering and Management (An autonomous Institute)</t>
  </si>
  <si>
    <t>Course Code</t>
  </si>
  <si>
    <t>Name of the Course</t>
  </si>
  <si>
    <t>L</t>
  </si>
  <si>
    <t xml:space="preserve">T </t>
  </si>
  <si>
    <t>Total</t>
  </si>
  <si>
    <t>P</t>
  </si>
  <si>
    <t>Credit</t>
  </si>
  <si>
    <t>Evaluation Scheme</t>
  </si>
  <si>
    <t>Theory</t>
  </si>
  <si>
    <t>Project</t>
  </si>
  <si>
    <t>Total Marks</t>
  </si>
  <si>
    <t>Teaching Scheme</t>
  </si>
  <si>
    <t>Summative Assessment</t>
  </si>
  <si>
    <t>Formative Assessment</t>
  </si>
  <si>
    <t>Formative Assessment(50)</t>
  </si>
  <si>
    <t>TAE(40)</t>
  </si>
  <si>
    <t>CAE(10)</t>
  </si>
  <si>
    <t>Summative Assessment (50)</t>
  </si>
  <si>
    <t>Course Category as per NEP</t>
  </si>
  <si>
    <t>INT</t>
  </si>
  <si>
    <t>EXT</t>
  </si>
  <si>
    <t>First Year MBA Semester I Structure</t>
  </si>
  <si>
    <t>GC - 01</t>
  </si>
  <si>
    <t>Managerial Accounting</t>
  </si>
  <si>
    <t>GC</t>
  </si>
  <si>
    <t>GC - 02</t>
  </si>
  <si>
    <t>Organizational Behaviour</t>
  </si>
  <si>
    <t>GC - 03</t>
  </si>
  <si>
    <t xml:space="preserve">Economic Analysis for Business Decisions </t>
  </si>
  <si>
    <t>GC - 04</t>
  </si>
  <si>
    <t>Basics of Marketing</t>
  </si>
  <si>
    <t>GC - 05</t>
  </si>
  <si>
    <t>Operations and Supply Chain Management</t>
  </si>
  <si>
    <t>GC - 06</t>
  </si>
  <si>
    <t>Start Up and New Venture Management</t>
  </si>
  <si>
    <t>GC - 07</t>
  </si>
  <si>
    <t>Quantitative Techniques</t>
  </si>
  <si>
    <t>GC - 08</t>
  </si>
  <si>
    <t>Indian Knowledge System</t>
  </si>
  <si>
    <t>Semester I - Generic Core</t>
  </si>
  <si>
    <t>Semester I - Generic Elective - Any 2</t>
  </si>
  <si>
    <t>GE - 01</t>
  </si>
  <si>
    <t>Basics of Business Analytics</t>
  </si>
  <si>
    <t>GE - 02</t>
  </si>
  <si>
    <t>MS Excel</t>
  </si>
  <si>
    <t>GE - 03</t>
  </si>
  <si>
    <t>Written Analysis and Communication Lab (Compulsory)</t>
  </si>
  <si>
    <t>GE - 04</t>
  </si>
  <si>
    <t>GE - 05</t>
  </si>
  <si>
    <t>Selling and Negotiation Skills Lab</t>
  </si>
  <si>
    <t>GE - 06</t>
  </si>
  <si>
    <t>Contemporary Frameworks in Management</t>
  </si>
  <si>
    <t>GE - 07</t>
  </si>
  <si>
    <t>Essentials of Psychology for Managers</t>
  </si>
  <si>
    <t>GE - 08</t>
  </si>
  <si>
    <t>Demand Analysis and Forecasting</t>
  </si>
  <si>
    <t>GE - 09</t>
  </si>
  <si>
    <t>Business, Government and Society</t>
  </si>
  <si>
    <t>GE</t>
  </si>
  <si>
    <t>GE - 10</t>
  </si>
  <si>
    <t>Project Management</t>
  </si>
  <si>
    <t>Grand Total</t>
  </si>
  <si>
    <t>First Year MBA Semester II Structure</t>
  </si>
  <si>
    <t>GC - 09</t>
  </si>
  <si>
    <t>Marketing Management</t>
  </si>
  <si>
    <t>GC - 10</t>
  </si>
  <si>
    <t>Financial Management</t>
  </si>
  <si>
    <t>GC - 11</t>
  </si>
  <si>
    <t>Human Resource Management</t>
  </si>
  <si>
    <t>GC - 12</t>
  </si>
  <si>
    <t>Indian Economy</t>
  </si>
  <si>
    <t>GC - 13</t>
  </si>
  <si>
    <t>Legal Aspects of Business</t>
  </si>
  <si>
    <t>Semester II - Generic Core</t>
  </si>
  <si>
    <t>Semester II - Research and Field Project</t>
  </si>
  <si>
    <t>RM - 01</t>
  </si>
  <si>
    <t>Business Research Methodology</t>
  </si>
  <si>
    <t>RM - 02</t>
  </si>
  <si>
    <t>Industrial Analysis and Desk Research</t>
  </si>
  <si>
    <t xml:space="preserve">FP- 01 </t>
  </si>
  <si>
    <t>Field Project</t>
  </si>
  <si>
    <t>RM</t>
  </si>
  <si>
    <t>FP</t>
  </si>
  <si>
    <t>Semester II - Subject Elective Elective - Any 2 - Marketing</t>
  </si>
  <si>
    <t>SE - MKT - 01</t>
  </si>
  <si>
    <t xml:space="preserve">Digital Marketing - I </t>
  </si>
  <si>
    <t>SE - MKT - 02</t>
  </si>
  <si>
    <t xml:space="preserve">Consumer Behaviour </t>
  </si>
  <si>
    <t>SE - MKT - 03</t>
  </si>
  <si>
    <t xml:space="preserve">Marketing Research  </t>
  </si>
  <si>
    <t>SE - MKT - 04</t>
  </si>
  <si>
    <t xml:space="preserve">Marketing of Financial Services - I </t>
  </si>
  <si>
    <t>SE</t>
  </si>
  <si>
    <t>Semester II - Subject Elective Elective - Any 2 - Finance</t>
  </si>
  <si>
    <t>SE - FIN - 01</t>
  </si>
  <si>
    <t>Direct Taxation</t>
  </si>
  <si>
    <t>SE - FIN - 02</t>
  </si>
  <si>
    <t xml:space="preserve">Cost and Works Accounting  </t>
  </si>
  <si>
    <t>SE - FIN - 03</t>
  </si>
  <si>
    <t xml:space="preserve">Banking and Financial Intermediation </t>
  </si>
  <si>
    <t>SE - FIN - 04</t>
  </si>
  <si>
    <t>Financial Analytics</t>
  </si>
  <si>
    <t>Semester II - Subject Elective Elective - Any 2 - Human Resource Management</t>
  </si>
  <si>
    <t>SE - HR - 01</t>
  </si>
  <si>
    <t>Learning and Development</t>
  </si>
  <si>
    <t>SE - HR - 02</t>
  </si>
  <si>
    <t>HR Operations</t>
  </si>
  <si>
    <t>SE - HR - 03</t>
  </si>
  <si>
    <t>Organizational Diagnosis and Development</t>
  </si>
  <si>
    <t>SE - HR - 04</t>
  </si>
  <si>
    <t>Current Trends and Cases in Human Resource Management</t>
  </si>
  <si>
    <t>Semester II - Subject Elective - Any 2 - Operations and Supply Chain Management</t>
  </si>
  <si>
    <t>SE - OPE - 01</t>
  </si>
  <si>
    <t>Planning and Control of Operations</t>
  </si>
  <si>
    <t>SE - OPE - 02</t>
  </si>
  <si>
    <t>Inventory Management</t>
  </si>
  <si>
    <t>SE - OPE - 03</t>
  </si>
  <si>
    <t xml:space="preserve">Quality Management Standards </t>
  </si>
  <si>
    <t>SE - OPE - 04</t>
  </si>
  <si>
    <t>Productivity Management</t>
  </si>
  <si>
    <t>Semester II - Subject Elective Elective - Any 2 - Business Analytics</t>
  </si>
  <si>
    <t>SE - BA - 01</t>
  </si>
  <si>
    <t>Basic Business Analytics using R</t>
  </si>
  <si>
    <t>SE - BA - 02</t>
  </si>
  <si>
    <t>Data Mining</t>
  </si>
  <si>
    <t>SE - BA - 03</t>
  </si>
  <si>
    <t>Tableau</t>
  </si>
  <si>
    <t>SE - BA - 04</t>
  </si>
  <si>
    <t xml:space="preserve">Data Warehousing Project Life Cycle Management </t>
  </si>
  <si>
    <t>Grand Total Sem II</t>
  </si>
  <si>
    <t>Course Type</t>
  </si>
  <si>
    <t>No. of Subjects</t>
  </si>
  <si>
    <t>Generic Core (Major)</t>
  </si>
  <si>
    <t>General Elective</t>
  </si>
  <si>
    <t>Subject (Specialisation) Core</t>
  </si>
  <si>
    <t>Subject (Specialisation) Elective</t>
  </si>
  <si>
    <t>Research (RM)</t>
  </si>
  <si>
    <t>OJT (SIP)</t>
  </si>
  <si>
    <t>Research Project</t>
  </si>
  <si>
    <t>Year</t>
  </si>
  <si>
    <t>Sem</t>
  </si>
  <si>
    <t>Credits</t>
  </si>
  <si>
    <t>Marks</t>
  </si>
  <si>
    <t>I</t>
  </si>
  <si>
    <t>II</t>
  </si>
  <si>
    <t>III</t>
  </si>
  <si>
    <t>IV</t>
  </si>
  <si>
    <t>Principal                                                                     Dr. Nilesh Uke</t>
  </si>
  <si>
    <t xml:space="preserve">                    BOS Chairman                                                                                                                       Dr.Archana Salve             </t>
  </si>
  <si>
    <t xml:space="preserve">Dr. Meghana Bhilare                      VC Nominee </t>
  </si>
  <si>
    <t>Human Rights (Extra-Compulsory)</t>
  </si>
  <si>
    <t>Introduction to Cyber Security/ Information Security</t>
  </si>
  <si>
    <t>HRT-01</t>
  </si>
  <si>
    <t>HRT-02</t>
  </si>
  <si>
    <t xml:space="preserve">                              BOS Chairman                                                                                                                       Dr.Archana Salve             </t>
  </si>
  <si>
    <t xml:space="preserve">  </t>
  </si>
  <si>
    <t>HRT02</t>
  </si>
  <si>
    <t>ICS-01</t>
  </si>
  <si>
    <t>TAE(20)</t>
  </si>
  <si>
    <t>CAE(20)</t>
  </si>
  <si>
    <t>Decoding 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</si>
</sst>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2"/>
      <color rgb="FFFF0000"/>
      <name val="Times New Roman"/>
      <family val="1"/>
    </font>
    <font>
      <b/>
      <sz val="12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EE0000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2" fillId="0" borderId="0" xfId="0" applyFont="1"/>
    <xf numFmtId="0" fontId="8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3" fillId="0" borderId="0" xfId="0" applyFont="1"/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2" fillId="0" borderId="8" xfId="0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/>
    <xf numFmtId="0" fontId="17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4" fillId="0" borderId="1" xfId="0" applyFont="1" applyBorder="1"/>
    <xf numFmtId="0" fontId="13" fillId="0" borderId="8" xfId="0" applyFont="1" applyBorder="1"/>
    <xf numFmtId="0" fontId="17" fillId="0" borderId="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0" xfId="0" applyFont="1"/>
    <xf numFmtId="0" fontId="1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566964</xdr:colOff>
      <xdr:row>46</xdr:row>
      <xdr:rowOff>11339</xdr:rowOff>
    </xdr:from>
    <xdr:to>
      <xdr:col>8</xdr:col>
      <xdr:colOff>74022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806F5-A9ED-D2FB-8ABA-10B6F6DE3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678" y="10738303"/>
          <a:ext cx="754380" cy="339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351517</xdr:colOff>
      <xdr:row>45</xdr:row>
      <xdr:rowOff>22679</xdr:rowOff>
    </xdr:from>
    <xdr:to>
      <xdr:col>3</xdr:col>
      <xdr:colOff>113392</xdr:colOff>
      <xdr:row>47</xdr:row>
      <xdr:rowOff>149316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1D940-EE96-E957-B1EF-8C6AFC93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85" y="10545536"/>
          <a:ext cx="873125" cy="534851"/>
        </a:xfrm>
        <a:prstGeom prst="rect">
          <a:avLst/>
        </a:prstGeom>
      </xdr:spPr>
    </xdr:pic>
    <xdr:clientData/>
  </xdr:twoCellAnchor>
  <xdr:twoCellAnchor editAs="oneCell">
    <xdr:from>
      <xdr:col>1</xdr:col>
      <xdr:colOff>1791606</xdr:colOff>
      <xdr:row>45</xdr:row>
      <xdr:rowOff>136071</xdr:rowOff>
    </xdr:from>
    <xdr:to>
      <xdr:col>1</xdr:col>
      <xdr:colOff>2585356</xdr:colOff>
      <xdr:row>47</xdr:row>
      <xdr:rowOff>56152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FEE96F-8F96-70B0-B045-222A722EC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02" t="28403" r="42382" b="21758"/>
        <a:stretch>
          <a:fillRect/>
        </a:stretch>
      </xdr:blipFill>
      <xdr:spPr bwMode="auto">
        <a:xfrm>
          <a:off x="3038927" y="10658928"/>
          <a:ext cx="793750" cy="3282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1341549</xdr:colOff>
      <xdr:row>64</xdr:row>
      <xdr:rowOff>134155</xdr:rowOff>
    </xdr:from>
    <xdr:to>
      <xdr:col>1</xdr:col>
      <xdr:colOff>2135299</xdr:colOff>
      <xdr:row>66</xdr:row>
      <xdr:rowOff>86816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BD62D-11D2-4683-9614-FBBCB58BAD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02" t="28403" r="42382" b="21758"/>
        <a:stretch>
          <a:fillRect/>
        </a:stretch>
      </xdr:blipFill>
      <xdr:spPr bwMode="auto">
        <a:xfrm>
          <a:off x="2589190" y="15696127"/>
          <a:ext cx="793750" cy="3282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268310</xdr:colOff>
      <xdr:row>63</xdr:row>
      <xdr:rowOff>67078</xdr:rowOff>
    </xdr:from>
    <xdr:to>
      <xdr:col>3</xdr:col>
      <xdr:colOff>254894</xdr:colOff>
      <xdr:row>66</xdr:row>
      <xdr:rowOff>77927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B38777-CE62-C320-125D-19DD8D82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3310" y="15441233"/>
          <a:ext cx="1274472" cy="574300"/>
        </a:xfrm>
        <a:prstGeom prst="rect">
          <a:avLst/>
        </a:prstGeom>
      </xdr:spPr>
    </xdr:pic>
    <xdr:clientData/>
  </xdr:twoCellAnchor>
  <xdr:twoCellAnchor editAs="oneCell">
    <xdr:from>
      <xdr:col>6</xdr:col>
      <xdr:colOff>402465</xdr:colOff>
      <xdr:row>62</xdr:row>
      <xdr:rowOff>80494</xdr:rowOff>
    </xdr:from>
    <xdr:to>
      <xdr:col>8</xdr:col>
      <xdr:colOff>657359</xdr:colOff>
      <xdr:row>66</xdr:row>
      <xdr:rowOff>71416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F4034F-E32D-7DCC-7339-2FD980A1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5176" y="15266832"/>
          <a:ext cx="1341549" cy="7421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17" zoomScaleNormal="100" workbookViewId="0">
      <selection activeCell="A3" sqref="A3:N41"/>
    </sheetView>
  </sheetViews>
  <sheetFormatPr defaultRowHeight="15" x14ac:dyDescent="0.25"/>
  <cols>
    <col min="1" max="1" width="18.7109375" style="2" customWidth="1"/>
    <col min="2" max="2" width="55.5703125" style="2" bestFit="1" customWidth="1"/>
    <col min="3" max="3" width="16.7109375" style="2" customWidth="1"/>
    <col min="4" max="4" width="8.140625" bestFit="1" customWidth="1"/>
    <col min="5" max="5" width="3.85546875" bestFit="1" customWidth="1"/>
    <col min="6" max="6" width="3" bestFit="1" customWidth="1"/>
    <col min="7" max="7" width="10.140625" customWidth="1"/>
    <col min="8" max="8" width="8.42578125" customWidth="1"/>
    <col min="9" max="9" width="8.5703125" customWidth="1"/>
    <col min="10" max="10" width="8.42578125" customWidth="1"/>
    <col min="11" max="11" width="11.5703125" customWidth="1"/>
    <col min="12" max="12" width="7.28515625" customWidth="1"/>
    <col min="13" max="13" width="8.140625" customWidth="1"/>
    <col min="14" max="14" width="9.140625" bestFit="1" customWidth="1"/>
    <col min="15" max="15" width="5.5703125" customWidth="1"/>
  </cols>
  <sheetData>
    <row r="1" spans="1:14" ht="20.25" x14ac:dyDescent="0.3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0.25" x14ac:dyDescent="0.3">
      <c r="A2" s="82" t="s">
        <v>22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ht="18.75" x14ac:dyDescent="0.3">
      <c r="A3" s="86" t="s">
        <v>1</v>
      </c>
      <c r="B3" s="86" t="s">
        <v>2</v>
      </c>
      <c r="C3" s="86" t="s">
        <v>19</v>
      </c>
      <c r="D3" s="86" t="s">
        <v>12</v>
      </c>
      <c r="E3" s="86"/>
      <c r="F3" s="86"/>
      <c r="G3" s="86"/>
      <c r="H3" s="85" t="s">
        <v>7</v>
      </c>
      <c r="I3" s="87" t="s">
        <v>8</v>
      </c>
      <c r="J3" s="87"/>
      <c r="K3" s="87"/>
      <c r="L3" s="87"/>
      <c r="M3" s="87"/>
      <c r="N3" s="87"/>
    </row>
    <row r="4" spans="1:14" ht="18.75" x14ac:dyDescent="0.25">
      <c r="A4" s="86"/>
      <c r="B4" s="86"/>
      <c r="C4" s="86"/>
      <c r="D4" s="86"/>
      <c r="E4" s="86"/>
      <c r="F4" s="86"/>
      <c r="G4" s="86"/>
      <c r="H4" s="85"/>
      <c r="I4" s="85" t="s">
        <v>9</v>
      </c>
      <c r="J4" s="85"/>
      <c r="K4" s="85"/>
      <c r="L4" s="85" t="s">
        <v>10</v>
      </c>
      <c r="M4" s="85"/>
      <c r="N4" s="88" t="s">
        <v>11</v>
      </c>
    </row>
    <row r="5" spans="1:14" ht="57.75" x14ac:dyDescent="0.25">
      <c r="A5" s="86"/>
      <c r="B5" s="86"/>
      <c r="C5" s="86"/>
      <c r="D5" s="86"/>
      <c r="E5" s="86"/>
      <c r="F5" s="86"/>
      <c r="G5" s="86"/>
      <c r="H5" s="85"/>
      <c r="I5" s="83" t="s">
        <v>15</v>
      </c>
      <c r="J5" s="84"/>
      <c r="K5" s="11" t="s">
        <v>18</v>
      </c>
      <c r="L5" s="24" t="s">
        <v>14</v>
      </c>
      <c r="M5" s="24" t="s">
        <v>13</v>
      </c>
      <c r="N5" s="89"/>
    </row>
    <row r="6" spans="1:14" ht="18.75" x14ac:dyDescent="0.3">
      <c r="A6" s="86"/>
      <c r="B6" s="86"/>
      <c r="C6" s="86"/>
      <c r="D6" s="1" t="s">
        <v>3</v>
      </c>
      <c r="E6" s="1" t="s">
        <v>4</v>
      </c>
      <c r="F6" s="1" t="s">
        <v>6</v>
      </c>
      <c r="G6" s="1" t="s">
        <v>5</v>
      </c>
      <c r="H6" s="85"/>
      <c r="I6" s="4" t="s">
        <v>159</v>
      </c>
      <c r="J6" s="4" t="s">
        <v>160</v>
      </c>
      <c r="K6" s="4"/>
      <c r="L6" s="4" t="s">
        <v>20</v>
      </c>
      <c r="M6" s="4" t="s">
        <v>21</v>
      </c>
      <c r="N6" s="3"/>
    </row>
    <row r="7" spans="1:14" ht="20.25" customHeight="1" x14ac:dyDescent="0.25">
      <c r="A7" s="68" t="s">
        <v>40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70"/>
    </row>
    <row r="8" spans="1:14" ht="15.75" x14ac:dyDescent="0.25">
      <c r="A8" s="11" t="s">
        <v>23</v>
      </c>
      <c r="B8" s="12" t="s">
        <v>24</v>
      </c>
      <c r="C8" s="8" t="s">
        <v>25</v>
      </c>
      <c r="D8" s="10">
        <v>2</v>
      </c>
      <c r="E8" s="10">
        <v>1</v>
      </c>
      <c r="F8" s="10">
        <v>0</v>
      </c>
      <c r="G8" s="10">
        <v>3</v>
      </c>
      <c r="H8" s="10">
        <v>3</v>
      </c>
      <c r="I8" s="10">
        <v>20</v>
      </c>
      <c r="J8" s="10">
        <v>20</v>
      </c>
      <c r="K8" s="10">
        <v>60</v>
      </c>
      <c r="L8" s="10"/>
      <c r="M8" s="7"/>
      <c r="N8" s="10">
        <v>100</v>
      </c>
    </row>
    <row r="9" spans="1:14" ht="15.75" x14ac:dyDescent="0.25">
      <c r="A9" s="11" t="s">
        <v>26</v>
      </c>
      <c r="B9" s="12" t="s">
        <v>27</v>
      </c>
      <c r="C9" s="8" t="s">
        <v>25</v>
      </c>
      <c r="D9" s="10">
        <v>2</v>
      </c>
      <c r="E9" s="10">
        <v>1</v>
      </c>
      <c r="F9" s="10">
        <v>0</v>
      </c>
      <c r="G9" s="10">
        <v>3</v>
      </c>
      <c r="H9" s="10">
        <v>3</v>
      </c>
      <c r="I9" s="10">
        <v>20</v>
      </c>
      <c r="J9" s="10">
        <v>20</v>
      </c>
      <c r="K9" s="10">
        <v>60</v>
      </c>
      <c r="L9" s="10"/>
      <c r="M9" s="7"/>
      <c r="N9" s="10">
        <v>100</v>
      </c>
    </row>
    <row r="10" spans="1:14" ht="15.75" x14ac:dyDescent="0.25">
      <c r="A10" s="15" t="s">
        <v>28</v>
      </c>
      <c r="B10" s="14" t="s">
        <v>29</v>
      </c>
      <c r="C10" s="18" t="s">
        <v>25</v>
      </c>
      <c r="D10" s="17">
        <v>2</v>
      </c>
      <c r="E10" s="17">
        <v>1</v>
      </c>
      <c r="F10" s="17">
        <v>0</v>
      </c>
      <c r="G10" s="17">
        <v>3</v>
      </c>
      <c r="H10" s="17">
        <v>3</v>
      </c>
      <c r="I10" s="10">
        <v>20</v>
      </c>
      <c r="J10" s="10">
        <v>20</v>
      </c>
      <c r="K10" s="10">
        <v>60</v>
      </c>
      <c r="L10" s="17"/>
      <c r="M10" s="36"/>
      <c r="N10" s="17">
        <v>100</v>
      </c>
    </row>
    <row r="11" spans="1:14" ht="15.75" x14ac:dyDescent="0.25">
      <c r="A11" s="11" t="s">
        <v>30</v>
      </c>
      <c r="B11" s="12" t="s">
        <v>31</v>
      </c>
      <c r="C11" s="8" t="s">
        <v>25</v>
      </c>
      <c r="D11" s="10">
        <v>2</v>
      </c>
      <c r="E11" s="10">
        <v>0</v>
      </c>
      <c r="F11" s="10">
        <v>2</v>
      </c>
      <c r="G11" s="10">
        <v>4</v>
      </c>
      <c r="H11" s="10">
        <v>3</v>
      </c>
      <c r="I11" s="10">
        <v>20</v>
      </c>
      <c r="J11" s="10">
        <v>20</v>
      </c>
      <c r="K11" s="10">
        <v>60</v>
      </c>
      <c r="L11" s="10"/>
      <c r="M11" s="7"/>
      <c r="N11" s="10">
        <v>100</v>
      </c>
    </row>
    <row r="12" spans="1:14" ht="15.75" x14ac:dyDescent="0.25">
      <c r="A12" s="11" t="s">
        <v>32</v>
      </c>
      <c r="B12" s="14" t="s">
        <v>33</v>
      </c>
      <c r="C12" s="8" t="s">
        <v>25</v>
      </c>
      <c r="D12" s="10">
        <v>2</v>
      </c>
      <c r="E12" s="10">
        <v>1</v>
      </c>
      <c r="F12" s="10">
        <v>0</v>
      </c>
      <c r="G12" s="10">
        <v>3</v>
      </c>
      <c r="H12" s="10">
        <v>3</v>
      </c>
      <c r="I12" s="10">
        <v>20</v>
      </c>
      <c r="J12" s="10">
        <v>20</v>
      </c>
      <c r="K12" s="10">
        <v>60</v>
      </c>
      <c r="L12" s="10"/>
      <c r="M12" s="7"/>
      <c r="N12" s="10">
        <v>100</v>
      </c>
    </row>
    <row r="13" spans="1:14" ht="15.75" x14ac:dyDescent="0.25">
      <c r="A13" s="11" t="s">
        <v>34</v>
      </c>
      <c r="B13" s="12" t="s">
        <v>35</v>
      </c>
      <c r="C13" s="8" t="s">
        <v>25</v>
      </c>
      <c r="D13" s="10">
        <v>1</v>
      </c>
      <c r="E13" s="10">
        <v>1</v>
      </c>
      <c r="F13" s="10">
        <v>2</v>
      </c>
      <c r="G13" s="10">
        <v>4</v>
      </c>
      <c r="H13" s="10">
        <v>3</v>
      </c>
      <c r="I13" s="10">
        <v>20</v>
      </c>
      <c r="J13" s="10">
        <v>20</v>
      </c>
      <c r="K13" s="10">
        <v>60</v>
      </c>
      <c r="L13" s="10"/>
      <c r="M13" s="7"/>
      <c r="N13" s="10">
        <v>100</v>
      </c>
    </row>
    <row r="14" spans="1:14" ht="15.75" x14ac:dyDescent="0.25">
      <c r="A14" s="11" t="s">
        <v>36</v>
      </c>
      <c r="B14" s="12" t="s">
        <v>37</v>
      </c>
      <c r="C14" s="8" t="s">
        <v>25</v>
      </c>
      <c r="D14" s="10">
        <v>1</v>
      </c>
      <c r="E14" s="10">
        <v>1</v>
      </c>
      <c r="F14" s="10">
        <v>0</v>
      </c>
      <c r="G14" s="10">
        <v>2</v>
      </c>
      <c r="H14" s="10">
        <v>2</v>
      </c>
      <c r="I14" s="10">
        <v>0</v>
      </c>
      <c r="J14" s="10">
        <v>0</v>
      </c>
      <c r="K14" s="10">
        <v>50</v>
      </c>
      <c r="L14" s="10"/>
      <c r="M14" s="7"/>
      <c r="N14" s="10">
        <v>50</v>
      </c>
    </row>
    <row r="15" spans="1:14" ht="15.75" x14ac:dyDescent="0.25">
      <c r="A15" s="11" t="s">
        <v>38</v>
      </c>
      <c r="B15" s="12" t="s">
        <v>39</v>
      </c>
      <c r="C15" s="8" t="s">
        <v>25</v>
      </c>
      <c r="D15" s="10">
        <v>1</v>
      </c>
      <c r="E15" s="10">
        <v>1</v>
      </c>
      <c r="F15" s="10">
        <v>0</v>
      </c>
      <c r="G15" s="10">
        <v>2</v>
      </c>
      <c r="H15" s="10">
        <v>2</v>
      </c>
      <c r="I15" s="10">
        <v>0</v>
      </c>
      <c r="J15" s="10">
        <v>0</v>
      </c>
      <c r="K15" s="10">
        <v>50</v>
      </c>
      <c r="L15" s="10"/>
      <c r="M15" s="7"/>
      <c r="N15" s="10">
        <v>50</v>
      </c>
    </row>
    <row r="16" spans="1:14" ht="15.75" x14ac:dyDescent="0.25">
      <c r="A16" s="11"/>
      <c r="B16" s="12"/>
      <c r="C16" s="13" t="s">
        <v>5</v>
      </c>
      <c r="D16" s="9"/>
      <c r="E16" s="9"/>
      <c r="F16" s="9"/>
      <c r="G16" s="9"/>
      <c r="H16" s="5">
        <v>22</v>
      </c>
      <c r="I16" s="10">
        <v>120</v>
      </c>
      <c r="J16" s="10">
        <v>120</v>
      </c>
      <c r="K16" s="5">
        <f>SUM(K8:K15)</f>
        <v>460</v>
      </c>
      <c r="L16" s="5"/>
      <c r="M16" s="7"/>
      <c r="N16" s="5">
        <f>SUM(N8:N15)</f>
        <v>700</v>
      </c>
    </row>
    <row r="17" spans="1:14" ht="15.75" x14ac:dyDescent="0.25">
      <c r="A17" s="65" t="s">
        <v>41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7"/>
    </row>
    <row r="18" spans="1:14" ht="15.75" x14ac:dyDescent="0.25">
      <c r="A18" s="11" t="s">
        <v>42</v>
      </c>
      <c r="B18" s="12" t="s">
        <v>43</v>
      </c>
      <c r="C18" s="8" t="s">
        <v>59</v>
      </c>
      <c r="D18" s="17">
        <v>1</v>
      </c>
      <c r="E18" s="17">
        <v>1</v>
      </c>
      <c r="F18" s="17">
        <v>0</v>
      </c>
      <c r="G18" s="17">
        <v>2</v>
      </c>
      <c r="H18" s="17">
        <v>2</v>
      </c>
      <c r="I18" s="17">
        <v>30</v>
      </c>
      <c r="J18" s="17">
        <v>20</v>
      </c>
      <c r="K18" s="17"/>
      <c r="L18" s="17"/>
      <c r="M18" s="17"/>
      <c r="N18" s="17">
        <v>50</v>
      </c>
    </row>
    <row r="19" spans="1:14" ht="15.75" x14ac:dyDescent="0.25">
      <c r="A19" s="11" t="s">
        <v>44</v>
      </c>
      <c r="B19" s="12" t="s">
        <v>45</v>
      </c>
      <c r="C19" s="8" t="s">
        <v>59</v>
      </c>
      <c r="D19" s="17">
        <v>0</v>
      </c>
      <c r="E19" s="17">
        <v>0</v>
      </c>
      <c r="F19" s="17">
        <v>4</v>
      </c>
      <c r="G19" s="17">
        <v>4</v>
      </c>
      <c r="H19" s="17">
        <v>2</v>
      </c>
      <c r="I19" s="17">
        <v>30</v>
      </c>
      <c r="J19" s="17">
        <v>20</v>
      </c>
      <c r="K19" s="17"/>
      <c r="L19" s="17"/>
      <c r="M19" s="17"/>
      <c r="N19" s="17">
        <v>50</v>
      </c>
    </row>
    <row r="20" spans="1:14" ht="15.75" x14ac:dyDescent="0.25">
      <c r="A20" s="11" t="s">
        <v>46</v>
      </c>
      <c r="B20" s="14" t="s">
        <v>47</v>
      </c>
      <c r="C20" s="8" t="s">
        <v>59</v>
      </c>
      <c r="D20" s="17">
        <v>0</v>
      </c>
      <c r="E20" s="17">
        <v>0</v>
      </c>
      <c r="F20" s="17">
        <v>2</v>
      </c>
      <c r="G20" s="17">
        <v>2</v>
      </c>
      <c r="H20" s="17">
        <v>0</v>
      </c>
      <c r="I20" s="17"/>
      <c r="J20" s="17"/>
      <c r="K20" s="17"/>
      <c r="L20" s="17"/>
      <c r="M20" s="17"/>
      <c r="N20" s="17">
        <v>0</v>
      </c>
    </row>
    <row r="21" spans="1:14" ht="15.75" x14ac:dyDescent="0.25">
      <c r="A21" s="11" t="s">
        <v>48</v>
      </c>
      <c r="B21" s="63" t="s">
        <v>161</v>
      </c>
      <c r="C21" s="8" t="s">
        <v>59</v>
      </c>
      <c r="D21" s="17">
        <v>1</v>
      </c>
      <c r="E21" s="17">
        <v>1</v>
      </c>
      <c r="F21" s="17">
        <v>0</v>
      </c>
      <c r="G21" s="17">
        <v>2</v>
      </c>
      <c r="H21" s="17">
        <v>2</v>
      </c>
      <c r="I21" s="17">
        <v>30</v>
      </c>
      <c r="J21" s="17">
        <v>20</v>
      </c>
      <c r="K21" s="17"/>
      <c r="L21" s="17"/>
      <c r="M21" s="17"/>
      <c r="N21" s="17">
        <v>50</v>
      </c>
    </row>
    <row r="22" spans="1:14" ht="15.75" x14ac:dyDescent="0.25">
      <c r="A22" s="11" t="s">
        <v>49</v>
      </c>
      <c r="B22" s="12" t="s">
        <v>50</v>
      </c>
      <c r="C22" s="8" t="s">
        <v>59</v>
      </c>
      <c r="D22" s="17">
        <v>1</v>
      </c>
      <c r="E22" s="17">
        <v>1</v>
      </c>
      <c r="F22" s="17">
        <v>0</v>
      </c>
      <c r="G22" s="17">
        <v>2</v>
      </c>
      <c r="H22" s="17">
        <v>2</v>
      </c>
      <c r="I22" s="17">
        <v>30</v>
      </c>
      <c r="J22" s="17">
        <v>20</v>
      </c>
      <c r="K22" s="17"/>
      <c r="L22" s="17"/>
      <c r="M22" s="17"/>
      <c r="N22" s="17">
        <v>50</v>
      </c>
    </row>
    <row r="23" spans="1:14" ht="15.75" x14ac:dyDescent="0.25">
      <c r="A23" s="11" t="s">
        <v>51</v>
      </c>
      <c r="B23" s="14" t="s">
        <v>52</v>
      </c>
      <c r="C23" s="8" t="s">
        <v>59</v>
      </c>
      <c r="D23" s="17">
        <v>1</v>
      </c>
      <c r="E23" s="17">
        <v>1</v>
      </c>
      <c r="F23" s="17">
        <v>0</v>
      </c>
      <c r="G23" s="17">
        <v>2</v>
      </c>
      <c r="H23" s="17">
        <v>2</v>
      </c>
      <c r="I23" s="17">
        <v>30</v>
      </c>
      <c r="J23" s="17">
        <v>20</v>
      </c>
      <c r="K23" s="17"/>
      <c r="L23" s="17"/>
      <c r="M23" s="17"/>
      <c r="N23" s="17">
        <v>50</v>
      </c>
    </row>
    <row r="24" spans="1:14" s="30" customFormat="1" ht="18.75" x14ac:dyDescent="0.3">
      <c r="A24" s="11" t="s">
        <v>53</v>
      </c>
      <c r="B24" s="12" t="s">
        <v>54</v>
      </c>
      <c r="C24" s="28" t="s">
        <v>59</v>
      </c>
      <c r="D24" s="29">
        <v>1</v>
      </c>
      <c r="E24" s="29">
        <v>1</v>
      </c>
      <c r="F24" s="29">
        <v>0</v>
      </c>
      <c r="G24" s="29">
        <v>2</v>
      </c>
      <c r="H24" s="29">
        <v>2</v>
      </c>
      <c r="I24" s="17">
        <v>30</v>
      </c>
      <c r="J24" s="17">
        <v>20</v>
      </c>
      <c r="K24" s="29"/>
      <c r="L24" s="29"/>
      <c r="M24" s="29"/>
      <c r="N24" s="17">
        <v>50</v>
      </c>
    </row>
    <row r="25" spans="1:14" ht="15.75" x14ac:dyDescent="0.25">
      <c r="A25" s="11" t="s">
        <v>55</v>
      </c>
      <c r="B25" s="12" t="s">
        <v>56</v>
      </c>
      <c r="C25" s="8" t="s">
        <v>59</v>
      </c>
      <c r="D25" s="17">
        <v>1</v>
      </c>
      <c r="E25" s="17">
        <v>1</v>
      </c>
      <c r="F25" s="17">
        <v>0</v>
      </c>
      <c r="G25" s="17">
        <v>2</v>
      </c>
      <c r="H25" s="17">
        <v>2</v>
      </c>
      <c r="I25" s="17">
        <v>30</v>
      </c>
      <c r="J25" s="17">
        <v>20</v>
      </c>
      <c r="K25" s="17"/>
      <c r="L25" s="17"/>
      <c r="M25" s="17"/>
      <c r="N25" s="17">
        <v>50</v>
      </c>
    </row>
    <row r="26" spans="1:14" ht="15.75" x14ac:dyDescent="0.25">
      <c r="A26" s="11" t="s">
        <v>57</v>
      </c>
      <c r="B26" s="12" t="s">
        <v>58</v>
      </c>
      <c r="C26" s="8" t="s">
        <v>59</v>
      </c>
      <c r="D26" s="17">
        <v>1</v>
      </c>
      <c r="E26" s="17">
        <v>1</v>
      </c>
      <c r="F26" s="17">
        <v>0</v>
      </c>
      <c r="G26" s="17">
        <v>2</v>
      </c>
      <c r="H26" s="17">
        <v>2</v>
      </c>
      <c r="I26" s="17">
        <v>30</v>
      </c>
      <c r="J26" s="17">
        <v>20</v>
      </c>
      <c r="K26" s="17"/>
      <c r="L26" s="17"/>
      <c r="M26" s="17"/>
      <c r="N26" s="17">
        <v>50</v>
      </c>
    </row>
    <row r="27" spans="1:14" ht="15.75" x14ac:dyDescent="0.25">
      <c r="A27" s="11" t="s">
        <v>60</v>
      </c>
      <c r="B27" s="19" t="s">
        <v>61</v>
      </c>
      <c r="C27" s="8" t="s">
        <v>59</v>
      </c>
      <c r="D27" s="17">
        <v>1</v>
      </c>
      <c r="E27" s="17">
        <v>1</v>
      </c>
      <c r="F27" s="17">
        <v>0</v>
      </c>
      <c r="G27" s="17">
        <v>2</v>
      </c>
      <c r="H27" s="17">
        <v>2</v>
      </c>
      <c r="I27" s="17">
        <v>30</v>
      </c>
      <c r="J27" s="17">
        <v>20</v>
      </c>
      <c r="K27" s="17"/>
      <c r="L27" s="17"/>
      <c r="M27" s="17"/>
      <c r="N27" s="17">
        <v>50</v>
      </c>
    </row>
    <row r="28" spans="1:14" ht="15.75" x14ac:dyDescent="0.25">
      <c r="A28" s="44" t="s">
        <v>153</v>
      </c>
      <c r="B28" s="19" t="s">
        <v>151</v>
      </c>
      <c r="C28" s="31"/>
      <c r="D28" s="17">
        <v>0</v>
      </c>
      <c r="E28" s="17">
        <v>1</v>
      </c>
      <c r="F28" s="17">
        <v>0</v>
      </c>
      <c r="G28" s="17">
        <v>1</v>
      </c>
      <c r="H28" s="17">
        <v>1</v>
      </c>
      <c r="I28" s="17">
        <v>25</v>
      </c>
      <c r="J28" s="17">
        <v>0</v>
      </c>
      <c r="K28" s="17"/>
      <c r="L28" s="17"/>
      <c r="M28" s="17"/>
      <c r="N28" s="32">
        <v>25</v>
      </c>
    </row>
    <row r="29" spans="1:14" ht="15.75" x14ac:dyDescent="0.25">
      <c r="A29" s="11"/>
      <c r="B29" s="12"/>
      <c r="C29" s="75" t="s">
        <v>5</v>
      </c>
      <c r="D29" s="76"/>
      <c r="E29" s="76"/>
      <c r="F29" s="76"/>
      <c r="G29" s="77"/>
      <c r="H29" s="15">
        <v>4</v>
      </c>
      <c r="I29" s="10"/>
      <c r="J29" s="10"/>
      <c r="K29" s="9"/>
      <c r="L29" s="5"/>
      <c r="M29" s="5"/>
      <c r="N29" s="5">
        <v>100</v>
      </c>
    </row>
    <row r="30" spans="1:14" ht="15.75" x14ac:dyDescent="0.25">
      <c r="A30" s="6"/>
      <c r="B30" s="6"/>
      <c r="C30" s="78" t="s">
        <v>62</v>
      </c>
      <c r="D30" s="79"/>
      <c r="E30" s="79"/>
      <c r="F30" s="79"/>
      <c r="G30" s="80"/>
      <c r="H30" s="5">
        <v>26</v>
      </c>
      <c r="I30" s="10"/>
      <c r="J30" s="10"/>
      <c r="K30" s="9"/>
      <c r="L30" s="5"/>
      <c r="M30" s="5"/>
      <c r="N30" s="5">
        <v>800</v>
      </c>
    </row>
    <row r="31" spans="1:14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</row>
    <row r="32" spans="1:14" ht="15.75" x14ac:dyDescent="0.25">
      <c r="A32" s="71"/>
      <c r="B32" s="15" t="s">
        <v>131</v>
      </c>
      <c r="C32" s="15" t="s">
        <v>132</v>
      </c>
      <c r="D32" s="14" t="s">
        <v>142</v>
      </c>
      <c r="E32" s="72"/>
      <c r="F32" s="72"/>
      <c r="G32" s="15" t="s">
        <v>140</v>
      </c>
      <c r="H32" s="15" t="s">
        <v>141</v>
      </c>
      <c r="I32" s="15" t="s">
        <v>142</v>
      </c>
      <c r="J32" s="15" t="s">
        <v>143</v>
      </c>
      <c r="K32" s="72"/>
      <c r="L32" s="72"/>
      <c r="M32" s="72"/>
      <c r="N32" s="72"/>
    </row>
    <row r="33" spans="1:14" ht="15.75" x14ac:dyDescent="0.25">
      <c r="A33" s="71"/>
      <c r="B33" s="34" t="s">
        <v>133</v>
      </c>
      <c r="C33" s="35">
        <v>16</v>
      </c>
      <c r="D33" s="35">
        <v>44</v>
      </c>
      <c r="E33" s="73"/>
      <c r="F33" s="72"/>
      <c r="G33" s="22">
        <v>1</v>
      </c>
      <c r="H33" s="22" t="s">
        <v>144</v>
      </c>
      <c r="I33" s="22">
        <v>26</v>
      </c>
      <c r="J33" s="22">
        <v>800</v>
      </c>
      <c r="K33" s="72"/>
      <c r="L33" s="72"/>
      <c r="M33" s="72"/>
      <c r="N33" s="72"/>
    </row>
    <row r="34" spans="1:14" ht="15.75" x14ac:dyDescent="0.25">
      <c r="A34" s="71"/>
      <c r="B34" s="16" t="s">
        <v>134</v>
      </c>
      <c r="C34" s="17">
        <v>2</v>
      </c>
      <c r="D34" s="17">
        <v>4</v>
      </c>
      <c r="E34" s="73"/>
      <c r="F34" s="72"/>
      <c r="G34" s="22">
        <v>1</v>
      </c>
      <c r="H34" s="22" t="s">
        <v>145</v>
      </c>
      <c r="I34" s="22">
        <v>26</v>
      </c>
      <c r="J34" s="22">
        <v>800</v>
      </c>
      <c r="K34" s="72"/>
      <c r="L34" s="72"/>
      <c r="M34" s="72"/>
      <c r="N34" s="72"/>
    </row>
    <row r="35" spans="1:14" ht="15.75" x14ac:dyDescent="0.25">
      <c r="A35" s="71"/>
      <c r="B35" s="16" t="s">
        <v>135</v>
      </c>
      <c r="C35" s="17">
        <v>2</v>
      </c>
      <c r="D35" s="17">
        <v>6</v>
      </c>
      <c r="E35" s="73"/>
      <c r="F35" s="72"/>
      <c r="G35" s="22">
        <v>2</v>
      </c>
      <c r="H35" s="22" t="s">
        <v>146</v>
      </c>
      <c r="I35" s="22">
        <v>26</v>
      </c>
      <c r="J35" s="22">
        <v>800</v>
      </c>
      <c r="K35" s="72"/>
      <c r="L35" s="72"/>
      <c r="M35" s="72"/>
      <c r="N35" s="72"/>
    </row>
    <row r="36" spans="1:14" ht="15.75" x14ac:dyDescent="0.25">
      <c r="A36" s="71"/>
      <c r="B36" s="16" t="s">
        <v>136</v>
      </c>
      <c r="C36" s="17">
        <v>10</v>
      </c>
      <c r="D36" s="17">
        <v>28</v>
      </c>
      <c r="E36" s="73"/>
      <c r="F36" s="72"/>
      <c r="G36" s="22">
        <v>2</v>
      </c>
      <c r="H36" s="22" t="s">
        <v>147</v>
      </c>
      <c r="I36" s="22">
        <v>26</v>
      </c>
      <c r="J36" s="22">
        <v>800</v>
      </c>
      <c r="K36" s="72"/>
      <c r="L36" s="72"/>
      <c r="M36" s="72"/>
      <c r="N36" s="72"/>
    </row>
    <row r="37" spans="1:14" ht="15.75" x14ac:dyDescent="0.25">
      <c r="A37" s="71"/>
      <c r="B37" s="16" t="s">
        <v>137</v>
      </c>
      <c r="C37" s="17">
        <v>2</v>
      </c>
      <c r="D37" s="17">
        <v>5</v>
      </c>
      <c r="E37" s="73"/>
      <c r="F37" s="72"/>
      <c r="G37" s="15" t="s">
        <v>5</v>
      </c>
      <c r="H37" s="15" t="s">
        <v>147</v>
      </c>
      <c r="I37" s="15">
        <v>104</v>
      </c>
      <c r="J37" s="15">
        <v>3200</v>
      </c>
      <c r="K37" s="72"/>
      <c r="L37" s="72"/>
      <c r="M37" s="72"/>
      <c r="N37" s="72"/>
    </row>
    <row r="38" spans="1:14" ht="15.75" x14ac:dyDescent="0.25">
      <c r="A38" s="71"/>
      <c r="B38" s="16" t="s">
        <v>81</v>
      </c>
      <c r="C38" s="17">
        <v>1</v>
      </c>
      <c r="D38" s="17">
        <v>3</v>
      </c>
      <c r="E38" s="73"/>
      <c r="F38" s="72"/>
      <c r="G38" s="109"/>
      <c r="H38" s="109"/>
      <c r="I38" s="109"/>
      <c r="J38" s="109"/>
      <c r="K38" s="72"/>
      <c r="L38" s="72"/>
      <c r="M38" s="72"/>
      <c r="N38" s="72"/>
    </row>
    <row r="39" spans="1:14" ht="15.75" x14ac:dyDescent="0.25">
      <c r="A39" s="71"/>
      <c r="B39" s="16" t="s">
        <v>138</v>
      </c>
      <c r="C39" s="17">
        <v>1</v>
      </c>
      <c r="D39" s="17">
        <v>8</v>
      </c>
      <c r="E39" s="73"/>
      <c r="F39" s="72"/>
      <c r="G39" s="72"/>
      <c r="H39" s="72"/>
      <c r="I39" s="72"/>
      <c r="J39" s="72"/>
      <c r="K39" s="72"/>
      <c r="L39" s="72"/>
      <c r="M39" s="72"/>
      <c r="N39" s="72"/>
    </row>
    <row r="40" spans="1:14" ht="15.75" x14ac:dyDescent="0.25">
      <c r="A40" s="71"/>
      <c r="B40" s="16" t="s">
        <v>139</v>
      </c>
      <c r="C40" s="17">
        <v>1</v>
      </c>
      <c r="D40" s="17">
        <v>6</v>
      </c>
      <c r="E40" s="73"/>
      <c r="F40" s="72"/>
      <c r="G40" s="72"/>
      <c r="H40" s="72"/>
      <c r="I40" s="72"/>
      <c r="J40" s="72"/>
      <c r="K40" s="72"/>
      <c r="L40" s="72"/>
      <c r="M40" s="72"/>
      <c r="N40" s="72"/>
    </row>
    <row r="41" spans="1:14" ht="15.75" x14ac:dyDescent="0.25">
      <c r="A41" s="71"/>
      <c r="B41" s="14" t="s">
        <v>5</v>
      </c>
      <c r="C41" s="15">
        <v>35</v>
      </c>
      <c r="D41" s="15">
        <v>104</v>
      </c>
      <c r="E41" s="73"/>
      <c r="F41" s="72"/>
      <c r="G41" s="72"/>
      <c r="H41" s="72"/>
      <c r="I41" s="72"/>
      <c r="J41" s="72"/>
      <c r="K41" s="72"/>
      <c r="L41" s="72"/>
      <c r="M41" s="72"/>
      <c r="N41" s="72"/>
    </row>
    <row r="42" spans="1:14" ht="15.75" x14ac:dyDescent="0.25">
      <c r="B42" s="20"/>
      <c r="C42" s="21"/>
      <c r="D42" s="21"/>
    </row>
    <row r="43" spans="1:14" ht="15.75" x14ac:dyDescent="0.25">
      <c r="B43" s="20"/>
      <c r="C43" s="21"/>
      <c r="D43" s="21"/>
    </row>
    <row r="44" spans="1:14" ht="15.75" x14ac:dyDescent="0.25">
      <c r="B44" s="20"/>
      <c r="C44" s="21"/>
      <c r="D44" s="21"/>
    </row>
    <row r="45" spans="1:14" ht="15.75" x14ac:dyDescent="0.25">
      <c r="B45" s="20"/>
      <c r="C45" s="21"/>
      <c r="D45" s="21"/>
    </row>
    <row r="46" spans="1:14" ht="15.75" x14ac:dyDescent="0.25">
      <c r="B46" s="20"/>
      <c r="C46" s="21"/>
      <c r="D46" s="21"/>
    </row>
    <row r="47" spans="1:14" ht="15.75" x14ac:dyDescent="0.25">
      <c r="B47" s="20"/>
      <c r="C47" s="21"/>
      <c r="D47" s="21"/>
    </row>
    <row r="49" spans="2:9" ht="15" customHeight="1" x14ac:dyDescent="0.25">
      <c r="B49" s="64" t="s">
        <v>149</v>
      </c>
      <c r="C49" s="64" t="s">
        <v>150</v>
      </c>
      <c r="D49" s="64"/>
      <c r="G49" s="74" t="s">
        <v>148</v>
      </c>
      <c r="H49" s="74"/>
      <c r="I49" s="74"/>
    </row>
    <row r="50" spans="2:9" ht="15" customHeight="1" x14ac:dyDescent="0.25">
      <c r="B50" s="64"/>
      <c r="C50" s="64"/>
      <c r="D50" s="64"/>
      <c r="G50" s="74"/>
      <c r="H50" s="74"/>
      <c r="I50" s="74"/>
    </row>
  </sheetData>
  <mergeCells count="24">
    <mergeCell ref="A1:N1"/>
    <mergeCell ref="A2:N2"/>
    <mergeCell ref="I5:J5"/>
    <mergeCell ref="H3:H6"/>
    <mergeCell ref="A3:A6"/>
    <mergeCell ref="B3:B6"/>
    <mergeCell ref="C3:C6"/>
    <mergeCell ref="D3:G5"/>
    <mergeCell ref="I3:N3"/>
    <mergeCell ref="I4:K4"/>
    <mergeCell ref="L4:M4"/>
    <mergeCell ref="N4:N5"/>
    <mergeCell ref="B49:B50"/>
    <mergeCell ref="C49:D50"/>
    <mergeCell ref="A17:N17"/>
    <mergeCell ref="A7:N7"/>
    <mergeCell ref="A31:A41"/>
    <mergeCell ref="E32:F41"/>
    <mergeCell ref="K32:N41"/>
    <mergeCell ref="B31:N31"/>
    <mergeCell ref="G49:I50"/>
    <mergeCell ref="C29:G29"/>
    <mergeCell ref="C30:G30"/>
    <mergeCell ref="G38:J41"/>
  </mergeCells>
  <pageMargins left="0.7" right="0.7" top="0.75" bottom="0.75" header="0.3" footer="0.3"/>
  <pageSetup scale="54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7"/>
  <sheetViews>
    <sheetView topLeftCell="A31" zoomScale="92" zoomScaleNormal="71" workbookViewId="0">
      <selection activeCell="M18" sqref="M18"/>
    </sheetView>
  </sheetViews>
  <sheetFormatPr defaultRowHeight="15" x14ac:dyDescent="0.25"/>
  <cols>
    <col min="1" max="1" width="18.7109375" style="2" customWidth="1"/>
    <col min="2" max="2" width="60.5703125" style="2" customWidth="1"/>
    <col min="3" max="3" width="19.28515625" style="2" customWidth="1"/>
    <col min="4" max="4" width="9.140625" customWidth="1"/>
    <col min="5" max="5" width="3.85546875" bestFit="1" customWidth="1"/>
    <col min="6" max="6" width="3" bestFit="1" customWidth="1"/>
    <col min="7" max="7" width="7.5703125" bestFit="1" customWidth="1"/>
    <col min="8" max="8" width="8.7109375" bestFit="1" customWidth="1"/>
    <col min="9" max="9" width="10.5703125" customWidth="1"/>
    <col min="10" max="10" width="10.42578125" bestFit="1" customWidth="1"/>
    <col min="11" max="11" width="18.42578125" customWidth="1"/>
    <col min="12" max="13" width="15" customWidth="1"/>
    <col min="14" max="14" width="9.140625" bestFit="1" customWidth="1"/>
  </cols>
  <sheetData>
    <row r="1" spans="1:14" ht="20.25" x14ac:dyDescent="0.3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0.25" x14ac:dyDescent="0.3">
      <c r="A2" s="82" t="s">
        <v>63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ht="18.75" x14ac:dyDescent="0.3">
      <c r="A3" s="86" t="s">
        <v>1</v>
      </c>
      <c r="B3" s="86" t="s">
        <v>2</v>
      </c>
      <c r="C3" s="86" t="s">
        <v>19</v>
      </c>
      <c r="D3" s="85" t="s">
        <v>12</v>
      </c>
      <c r="E3" s="85"/>
      <c r="F3" s="85"/>
      <c r="G3" s="85"/>
      <c r="H3" s="85" t="s">
        <v>7</v>
      </c>
      <c r="I3" s="87" t="s">
        <v>8</v>
      </c>
      <c r="J3" s="87"/>
      <c r="K3" s="87"/>
      <c r="L3" s="87"/>
      <c r="M3" s="87"/>
      <c r="N3" s="87"/>
    </row>
    <row r="4" spans="1:14" ht="18.75" x14ac:dyDescent="0.3">
      <c r="A4" s="86"/>
      <c r="B4" s="86"/>
      <c r="C4" s="86"/>
      <c r="D4" s="85"/>
      <c r="E4" s="85"/>
      <c r="F4" s="85"/>
      <c r="G4" s="85"/>
      <c r="H4" s="85"/>
      <c r="I4" s="87" t="s">
        <v>9</v>
      </c>
      <c r="J4" s="87"/>
      <c r="K4" s="87"/>
      <c r="L4" s="87" t="s">
        <v>10</v>
      </c>
      <c r="M4" s="87"/>
      <c r="N4" s="88" t="s">
        <v>11</v>
      </c>
    </row>
    <row r="5" spans="1:14" ht="31.5" x14ac:dyDescent="0.25">
      <c r="A5" s="86"/>
      <c r="B5" s="86"/>
      <c r="C5" s="86"/>
      <c r="D5" s="85"/>
      <c r="E5" s="85"/>
      <c r="F5" s="85"/>
      <c r="G5" s="85"/>
      <c r="H5" s="85"/>
      <c r="I5" s="93" t="s">
        <v>15</v>
      </c>
      <c r="J5" s="93"/>
      <c r="K5" s="13" t="s">
        <v>18</v>
      </c>
      <c r="L5" s="24" t="s">
        <v>14</v>
      </c>
      <c r="M5" s="24" t="s">
        <v>13</v>
      </c>
      <c r="N5" s="89"/>
    </row>
    <row r="6" spans="1:14" ht="18.75" x14ac:dyDescent="0.3">
      <c r="A6" s="86"/>
      <c r="B6" s="86"/>
      <c r="C6" s="86"/>
      <c r="D6" s="1" t="s">
        <v>3</v>
      </c>
      <c r="E6" s="1" t="s">
        <v>4</v>
      </c>
      <c r="F6" s="1" t="s">
        <v>6</v>
      </c>
      <c r="G6" s="1" t="s">
        <v>5</v>
      </c>
      <c r="H6" s="85"/>
      <c r="I6" s="4" t="s">
        <v>16</v>
      </c>
      <c r="J6" s="4" t="s">
        <v>17</v>
      </c>
      <c r="K6" s="4"/>
      <c r="L6" s="4" t="s">
        <v>20</v>
      </c>
      <c r="M6" s="4" t="s">
        <v>21</v>
      </c>
      <c r="N6" s="3"/>
    </row>
    <row r="7" spans="1:14" ht="20.25" customHeight="1" x14ac:dyDescent="0.25">
      <c r="A7" s="90" t="s">
        <v>74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2"/>
    </row>
    <row r="8" spans="1:14" ht="20.25" x14ac:dyDescent="0.3">
      <c r="A8" s="23" t="s">
        <v>64</v>
      </c>
      <c r="B8" s="27" t="s">
        <v>65</v>
      </c>
      <c r="C8" s="45" t="s">
        <v>25</v>
      </c>
      <c r="D8" s="46">
        <v>2</v>
      </c>
      <c r="E8" s="46">
        <v>1</v>
      </c>
      <c r="F8" s="46">
        <v>0</v>
      </c>
      <c r="G8" s="46">
        <v>3</v>
      </c>
      <c r="H8" s="46">
        <v>3</v>
      </c>
      <c r="I8" s="46">
        <v>20</v>
      </c>
      <c r="J8" s="46">
        <v>20</v>
      </c>
      <c r="K8" s="46">
        <v>60</v>
      </c>
      <c r="L8" s="46"/>
      <c r="M8" s="46"/>
      <c r="N8" s="46">
        <v>100</v>
      </c>
    </row>
    <row r="9" spans="1:14" ht="20.25" x14ac:dyDescent="0.3">
      <c r="A9" s="23" t="s">
        <v>66</v>
      </c>
      <c r="B9" s="39" t="s">
        <v>67</v>
      </c>
      <c r="C9" s="45" t="s">
        <v>25</v>
      </c>
      <c r="D9" s="46">
        <v>2</v>
      </c>
      <c r="E9" s="46">
        <v>1</v>
      </c>
      <c r="F9" s="46">
        <v>0</v>
      </c>
      <c r="G9" s="46">
        <v>3</v>
      </c>
      <c r="H9" s="46">
        <v>3</v>
      </c>
      <c r="I9" s="46">
        <v>20</v>
      </c>
      <c r="J9" s="46">
        <v>20</v>
      </c>
      <c r="K9" s="46">
        <v>60</v>
      </c>
      <c r="L9" s="46"/>
      <c r="M9" s="46"/>
      <c r="N9" s="46">
        <v>100</v>
      </c>
    </row>
    <row r="10" spans="1:14" ht="20.25" x14ac:dyDescent="0.3">
      <c r="A10" s="23" t="s">
        <v>68</v>
      </c>
      <c r="B10" s="27" t="s">
        <v>69</v>
      </c>
      <c r="C10" s="45" t="s">
        <v>25</v>
      </c>
      <c r="D10" s="46">
        <v>2</v>
      </c>
      <c r="E10" s="46">
        <v>1</v>
      </c>
      <c r="F10" s="46">
        <v>0</v>
      </c>
      <c r="G10" s="46">
        <v>3</v>
      </c>
      <c r="H10" s="46">
        <v>3</v>
      </c>
      <c r="I10" s="46">
        <v>20</v>
      </c>
      <c r="J10" s="46">
        <v>20</v>
      </c>
      <c r="K10" s="46">
        <v>60</v>
      </c>
      <c r="L10" s="46"/>
      <c r="M10" s="46"/>
      <c r="N10" s="46">
        <v>100</v>
      </c>
    </row>
    <row r="11" spans="1:14" ht="20.25" x14ac:dyDescent="0.3">
      <c r="A11" s="23" t="s">
        <v>70</v>
      </c>
      <c r="B11" s="27" t="s">
        <v>71</v>
      </c>
      <c r="C11" s="45" t="s">
        <v>25</v>
      </c>
      <c r="D11" s="46">
        <v>2</v>
      </c>
      <c r="E11" s="46">
        <v>1</v>
      </c>
      <c r="F11" s="46">
        <v>0</v>
      </c>
      <c r="G11" s="46">
        <v>3</v>
      </c>
      <c r="H11" s="46">
        <v>3</v>
      </c>
      <c r="I11" s="46">
        <v>20</v>
      </c>
      <c r="J11" s="46">
        <v>20</v>
      </c>
      <c r="K11" s="46">
        <v>60</v>
      </c>
      <c r="L11" s="46"/>
      <c r="M11" s="46"/>
      <c r="N11" s="46">
        <v>100</v>
      </c>
    </row>
    <row r="12" spans="1:14" ht="20.25" x14ac:dyDescent="0.3">
      <c r="A12" s="23" t="s">
        <v>72</v>
      </c>
      <c r="B12" s="27" t="s">
        <v>73</v>
      </c>
      <c r="C12" s="45" t="s">
        <v>25</v>
      </c>
      <c r="D12" s="46">
        <v>2</v>
      </c>
      <c r="E12" s="46">
        <v>0</v>
      </c>
      <c r="F12" s="46">
        <v>0</v>
      </c>
      <c r="G12" s="46">
        <v>2</v>
      </c>
      <c r="H12" s="46">
        <v>2</v>
      </c>
      <c r="I12" s="46"/>
      <c r="J12" s="46"/>
      <c r="K12" s="46">
        <v>50</v>
      </c>
      <c r="L12" s="46"/>
      <c r="M12" s="46"/>
      <c r="N12" s="46">
        <v>50</v>
      </c>
    </row>
    <row r="13" spans="1:14" ht="20.25" x14ac:dyDescent="0.3">
      <c r="A13" s="23"/>
      <c r="B13" s="27"/>
      <c r="C13" s="103" t="s">
        <v>5</v>
      </c>
      <c r="D13" s="104"/>
      <c r="E13" s="104"/>
      <c r="F13" s="104"/>
      <c r="G13" s="105"/>
      <c r="H13" s="47">
        <v>14</v>
      </c>
      <c r="I13" s="46">
        <f>SUM(I8:I12)</f>
        <v>80</v>
      </c>
      <c r="J13" s="46">
        <f>SUM(J8:J12)</f>
        <v>80</v>
      </c>
      <c r="K13" s="47">
        <f>SUM(K8:K12)</f>
        <v>290</v>
      </c>
      <c r="L13" s="47"/>
      <c r="M13" s="47"/>
      <c r="N13" s="47">
        <f>SUM(N8:N12)</f>
        <v>450</v>
      </c>
    </row>
    <row r="14" spans="1:14" ht="20.25" x14ac:dyDescent="0.3">
      <c r="A14" s="95" t="s">
        <v>75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7"/>
    </row>
    <row r="15" spans="1:14" ht="21" x14ac:dyDescent="0.35">
      <c r="A15" s="23" t="s">
        <v>76</v>
      </c>
      <c r="B15" s="27" t="s">
        <v>77</v>
      </c>
      <c r="C15" s="45" t="s">
        <v>82</v>
      </c>
      <c r="D15" s="48">
        <v>1</v>
      </c>
      <c r="E15" s="48">
        <v>1</v>
      </c>
      <c r="F15" s="48">
        <v>2</v>
      </c>
      <c r="G15" s="48">
        <v>4</v>
      </c>
      <c r="H15" s="48">
        <v>3</v>
      </c>
      <c r="I15" s="46">
        <v>20</v>
      </c>
      <c r="J15" s="46">
        <v>20</v>
      </c>
      <c r="K15" s="46">
        <v>60</v>
      </c>
      <c r="L15" s="46"/>
      <c r="M15" s="49"/>
      <c r="N15" s="46">
        <v>100</v>
      </c>
    </row>
    <row r="16" spans="1:14" s="33" customFormat="1" ht="21" x14ac:dyDescent="0.35">
      <c r="A16" s="23" t="s">
        <v>78</v>
      </c>
      <c r="B16" s="27" t="s">
        <v>79</v>
      </c>
      <c r="C16" s="45" t="s">
        <v>82</v>
      </c>
      <c r="D16" s="46">
        <v>0</v>
      </c>
      <c r="E16" s="46">
        <v>0</v>
      </c>
      <c r="F16" s="46">
        <v>4</v>
      </c>
      <c r="G16" s="46">
        <v>4</v>
      </c>
      <c r="H16" s="46">
        <v>2</v>
      </c>
      <c r="I16" s="46"/>
      <c r="J16" s="46"/>
      <c r="K16" s="46"/>
      <c r="L16" s="46">
        <v>50</v>
      </c>
      <c r="M16" s="49"/>
      <c r="N16" s="46">
        <v>50</v>
      </c>
    </row>
    <row r="17" spans="1:14" ht="20.25" x14ac:dyDescent="0.3">
      <c r="A17" s="23" t="s">
        <v>80</v>
      </c>
      <c r="B17" s="27" t="s">
        <v>81</v>
      </c>
      <c r="C17" s="45" t="s">
        <v>83</v>
      </c>
      <c r="D17" s="46">
        <v>0</v>
      </c>
      <c r="E17" s="46">
        <v>0</v>
      </c>
      <c r="F17" s="46">
        <v>6</v>
      </c>
      <c r="G17" s="46">
        <v>6</v>
      </c>
      <c r="H17" s="46">
        <v>3</v>
      </c>
      <c r="I17" s="46"/>
      <c r="J17" s="46"/>
      <c r="K17" s="50"/>
      <c r="L17" s="46">
        <v>50</v>
      </c>
      <c r="M17" s="46">
        <v>50</v>
      </c>
      <c r="N17" s="46">
        <v>100</v>
      </c>
    </row>
    <row r="18" spans="1:14" ht="20.25" x14ac:dyDescent="0.3">
      <c r="A18" s="23"/>
      <c r="B18" s="27"/>
      <c r="C18" s="103" t="s">
        <v>5</v>
      </c>
      <c r="D18" s="104"/>
      <c r="E18" s="104"/>
      <c r="F18" s="104"/>
      <c r="G18" s="105"/>
      <c r="H18" s="47">
        <v>8</v>
      </c>
      <c r="I18" s="46">
        <v>20</v>
      </c>
      <c r="J18" s="46">
        <v>20</v>
      </c>
      <c r="K18" s="46">
        <v>60</v>
      </c>
      <c r="L18" s="47">
        <v>100</v>
      </c>
      <c r="M18" s="47">
        <v>50</v>
      </c>
      <c r="N18" s="47">
        <v>250</v>
      </c>
    </row>
    <row r="19" spans="1:14" ht="20.25" x14ac:dyDescent="0.25">
      <c r="A19" s="90" t="s">
        <v>84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2"/>
    </row>
    <row r="20" spans="1:14" ht="20.25" x14ac:dyDescent="0.3">
      <c r="A20" s="25" t="s">
        <v>85</v>
      </c>
      <c r="B20" s="39" t="s">
        <v>86</v>
      </c>
      <c r="C20" s="47" t="s">
        <v>93</v>
      </c>
      <c r="D20" s="46">
        <v>1</v>
      </c>
      <c r="E20" s="46">
        <v>1</v>
      </c>
      <c r="F20" s="46">
        <v>0</v>
      </c>
      <c r="G20" s="46">
        <v>2</v>
      </c>
      <c r="H20" s="46">
        <v>2</v>
      </c>
      <c r="I20" s="46">
        <v>30</v>
      </c>
      <c r="J20" s="46">
        <v>20</v>
      </c>
      <c r="K20" s="48"/>
      <c r="L20" s="46"/>
      <c r="M20" s="46"/>
      <c r="N20" s="46">
        <v>50</v>
      </c>
    </row>
    <row r="21" spans="1:14" ht="20.25" x14ac:dyDescent="0.3">
      <c r="A21" s="25" t="s">
        <v>87</v>
      </c>
      <c r="B21" s="39" t="s">
        <v>88</v>
      </c>
      <c r="C21" s="47" t="s">
        <v>93</v>
      </c>
      <c r="D21" s="46">
        <v>1</v>
      </c>
      <c r="E21" s="46">
        <v>1</v>
      </c>
      <c r="F21" s="46">
        <v>0</v>
      </c>
      <c r="G21" s="46">
        <v>2</v>
      </c>
      <c r="H21" s="46">
        <v>2</v>
      </c>
      <c r="I21" s="46">
        <v>30</v>
      </c>
      <c r="J21" s="46">
        <v>20</v>
      </c>
      <c r="K21" s="48"/>
      <c r="L21" s="46"/>
      <c r="M21" s="46"/>
      <c r="N21" s="46">
        <v>50</v>
      </c>
    </row>
    <row r="22" spans="1:14" ht="20.25" x14ac:dyDescent="0.3">
      <c r="A22" s="25" t="s">
        <v>89</v>
      </c>
      <c r="B22" s="39" t="s">
        <v>90</v>
      </c>
      <c r="C22" s="47" t="s">
        <v>93</v>
      </c>
      <c r="D22" s="46">
        <v>1</v>
      </c>
      <c r="E22" s="46">
        <v>1</v>
      </c>
      <c r="F22" s="46">
        <v>0</v>
      </c>
      <c r="G22" s="46">
        <v>2</v>
      </c>
      <c r="H22" s="46">
        <v>2</v>
      </c>
      <c r="I22" s="46">
        <v>30</v>
      </c>
      <c r="J22" s="46">
        <v>20</v>
      </c>
      <c r="K22" s="48"/>
      <c r="L22" s="50"/>
      <c r="M22" s="50"/>
      <c r="N22" s="46">
        <v>50</v>
      </c>
    </row>
    <row r="23" spans="1:14" ht="20.25" x14ac:dyDescent="0.3">
      <c r="A23" s="25" t="s">
        <v>91</v>
      </c>
      <c r="B23" s="39" t="s">
        <v>92</v>
      </c>
      <c r="C23" s="47" t="s">
        <v>93</v>
      </c>
      <c r="D23" s="46">
        <v>1</v>
      </c>
      <c r="E23" s="46">
        <v>1</v>
      </c>
      <c r="F23" s="46">
        <v>0</v>
      </c>
      <c r="G23" s="46">
        <v>2</v>
      </c>
      <c r="H23" s="46">
        <v>2</v>
      </c>
      <c r="I23" s="46">
        <v>30</v>
      </c>
      <c r="J23" s="46">
        <v>20</v>
      </c>
      <c r="K23" s="48"/>
      <c r="L23" s="50"/>
      <c r="M23" s="50"/>
      <c r="N23" s="46">
        <v>50</v>
      </c>
    </row>
    <row r="24" spans="1:14" ht="20.25" x14ac:dyDescent="0.3">
      <c r="A24" s="23"/>
      <c r="B24" s="27"/>
      <c r="C24" s="103" t="s">
        <v>5</v>
      </c>
      <c r="D24" s="104"/>
      <c r="E24" s="104"/>
      <c r="F24" s="104"/>
      <c r="G24" s="105"/>
      <c r="H24" s="47">
        <v>4</v>
      </c>
      <c r="I24" s="46"/>
      <c r="J24" s="46"/>
      <c r="K24" s="50"/>
      <c r="L24" s="47"/>
      <c r="M24" s="47"/>
      <c r="N24" s="47">
        <v>100</v>
      </c>
    </row>
    <row r="25" spans="1:14" ht="20.25" x14ac:dyDescent="0.3">
      <c r="A25" s="95" t="s">
        <v>94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7"/>
    </row>
    <row r="26" spans="1:14" ht="21" x14ac:dyDescent="0.35">
      <c r="A26" s="23" t="s">
        <v>95</v>
      </c>
      <c r="B26" s="27" t="s">
        <v>96</v>
      </c>
      <c r="C26" s="51" t="s">
        <v>93</v>
      </c>
      <c r="D26" s="52">
        <v>1</v>
      </c>
      <c r="E26" s="52">
        <v>1</v>
      </c>
      <c r="F26" s="52">
        <v>0</v>
      </c>
      <c r="G26" s="52">
        <v>2</v>
      </c>
      <c r="H26" s="52">
        <v>2</v>
      </c>
      <c r="I26" s="46">
        <v>30</v>
      </c>
      <c r="J26" s="46">
        <v>20</v>
      </c>
      <c r="K26" s="52"/>
      <c r="L26" s="52"/>
      <c r="M26" s="52"/>
      <c r="N26" s="52">
        <v>50</v>
      </c>
    </row>
    <row r="27" spans="1:14" ht="21" x14ac:dyDescent="0.35">
      <c r="A27" s="23" t="s">
        <v>97</v>
      </c>
      <c r="B27" s="27" t="s">
        <v>98</v>
      </c>
      <c r="C27" s="51" t="s">
        <v>93</v>
      </c>
      <c r="D27" s="52">
        <v>1</v>
      </c>
      <c r="E27" s="52">
        <v>1</v>
      </c>
      <c r="F27" s="52">
        <v>0</v>
      </c>
      <c r="G27" s="52">
        <v>2</v>
      </c>
      <c r="H27" s="52">
        <v>2</v>
      </c>
      <c r="I27" s="46">
        <v>30</v>
      </c>
      <c r="J27" s="46">
        <v>20</v>
      </c>
      <c r="K27" s="52"/>
      <c r="L27" s="52"/>
      <c r="M27" s="52"/>
      <c r="N27" s="52">
        <v>50</v>
      </c>
    </row>
    <row r="28" spans="1:14" ht="21" x14ac:dyDescent="0.35">
      <c r="A28" s="23" t="s">
        <v>99</v>
      </c>
      <c r="B28" s="27" t="s">
        <v>100</v>
      </c>
      <c r="C28" s="51" t="s">
        <v>93</v>
      </c>
      <c r="D28" s="52">
        <v>1</v>
      </c>
      <c r="E28" s="52">
        <v>1</v>
      </c>
      <c r="F28" s="52">
        <v>0</v>
      </c>
      <c r="G28" s="52">
        <v>2</v>
      </c>
      <c r="H28" s="52">
        <v>2</v>
      </c>
      <c r="I28" s="46">
        <v>30</v>
      </c>
      <c r="J28" s="46">
        <v>20</v>
      </c>
      <c r="K28" s="49"/>
      <c r="L28" s="49"/>
      <c r="M28" s="49"/>
      <c r="N28" s="52">
        <v>50</v>
      </c>
    </row>
    <row r="29" spans="1:14" ht="21" x14ac:dyDescent="0.35">
      <c r="A29" s="23" t="s">
        <v>101</v>
      </c>
      <c r="B29" s="27" t="s">
        <v>102</v>
      </c>
      <c r="C29" s="51" t="s">
        <v>93</v>
      </c>
      <c r="D29" s="52">
        <v>1</v>
      </c>
      <c r="E29" s="52">
        <v>1</v>
      </c>
      <c r="F29" s="52">
        <v>0</v>
      </c>
      <c r="G29" s="52">
        <v>2</v>
      </c>
      <c r="H29" s="52">
        <v>2</v>
      </c>
      <c r="I29" s="46">
        <v>30</v>
      </c>
      <c r="J29" s="46">
        <v>20</v>
      </c>
      <c r="K29" s="49"/>
      <c r="L29" s="49"/>
      <c r="M29" s="49"/>
      <c r="N29" s="52">
        <v>50</v>
      </c>
    </row>
    <row r="30" spans="1:14" ht="21" x14ac:dyDescent="0.35">
      <c r="A30" s="38"/>
      <c r="B30" s="38"/>
      <c r="C30" s="90" t="s">
        <v>5</v>
      </c>
      <c r="D30" s="91"/>
      <c r="E30" s="91"/>
      <c r="F30" s="91"/>
      <c r="G30" s="92"/>
      <c r="H30" s="53">
        <v>4</v>
      </c>
      <c r="I30" s="49"/>
      <c r="J30" s="49"/>
      <c r="K30" s="52"/>
      <c r="L30" s="53"/>
      <c r="M30" s="53"/>
      <c r="N30" s="53">
        <v>100</v>
      </c>
    </row>
    <row r="31" spans="1:14" ht="21" x14ac:dyDescent="0.35">
      <c r="A31" s="98" t="s">
        <v>103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100"/>
    </row>
    <row r="32" spans="1:14" ht="21" x14ac:dyDescent="0.35">
      <c r="A32" s="25" t="s">
        <v>104</v>
      </c>
      <c r="B32" s="39" t="s">
        <v>105</v>
      </c>
      <c r="C32" s="53" t="s">
        <v>93</v>
      </c>
      <c r="D32" s="52">
        <v>1</v>
      </c>
      <c r="E32" s="52">
        <v>1</v>
      </c>
      <c r="F32" s="52">
        <v>0</v>
      </c>
      <c r="G32" s="52">
        <v>2</v>
      </c>
      <c r="H32" s="52">
        <v>2</v>
      </c>
      <c r="I32" s="46">
        <v>30</v>
      </c>
      <c r="J32" s="46">
        <v>20</v>
      </c>
      <c r="K32" s="52"/>
      <c r="L32" s="52"/>
      <c r="M32" s="52"/>
      <c r="N32" s="52">
        <v>50</v>
      </c>
    </row>
    <row r="33" spans="1:14" ht="21" x14ac:dyDescent="0.35">
      <c r="A33" s="25" t="s">
        <v>106</v>
      </c>
      <c r="B33" s="39" t="s">
        <v>107</v>
      </c>
      <c r="C33" s="53" t="s">
        <v>93</v>
      </c>
      <c r="D33" s="52">
        <v>1</v>
      </c>
      <c r="E33" s="52">
        <v>1</v>
      </c>
      <c r="F33" s="52">
        <v>0</v>
      </c>
      <c r="G33" s="52">
        <v>2</v>
      </c>
      <c r="H33" s="52">
        <v>2</v>
      </c>
      <c r="I33" s="46">
        <v>30</v>
      </c>
      <c r="J33" s="46">
        <v>20</v>
      </c>
      <c r="K33" s="52"/>
      <c r="L33" s="52"/>
      <c r="M33" s="52"/>
      <c r="N33" s="52">
        <v>50</v>
      </c>
    </row>
    <row r="34" spans="1:14" ht="21" x14ac:dyDescent="0.35">
      <c r="A34" s="25" t="s">
        <v>108</v>
      </c>
      <c r="B34" s="39" t="s">
        <v>109</v>
      </c>
      <c r="C34" s="53" t="s">
        <v>93</v>
      </c>
      <c r="D34" s="52">
        <v>1</v>
      </c>
      <c r="E34" s="52">
        <v>1</v>
      </c>
      <c r="F34" s="52">
        <v>0</v>
      </c>
      <c r="G34" s="52">
        <v>2</v>
      </c>
      <c r="H34" s="52">
        <v>2</v>
      </c>
      <c r="I34" s="46">
        <v>30</v>
      </c>
      <c r="J34" s="46">
        <v>20</v>
      </c>
      <c r="K34" s="52"/>
      <c r="L34" s="52"/>
      <c r="M34" s="52"/>
      <c r="N34" s="52">
        <v>50</v>
      </c>
    </row>
    <row r="35" spans="1:14" ht="37.5" x14ac:dyDescent="0.35">
      <c r="A35" s="25" t="s">
        <v>110</v>
      </c>
      <c r="B35" s="27" t="s">
        <v>111</v>
      </c>
      <c r="C35" s="53" t="s">
        <v>93</v>
      </c>
      <c r="D35" s="52">
        <v>1</v>
      </c>
      <c r="E35" s="52">
        <v>1</v>
      </c>
      <c r="F35" s="52">
        <v>0</v>
      </c>
      <c r="G35" s="52">
        <v>2</v>
      </c>
      <c r="H35" s="52">
        <v>2</v>
      </c>
      <c r="I35" s="46">
        <v>30</v>
      </c>
      <c r="J35" s="46">
        <v>20</v>
      </c>
      <c r="K35" s="52"/>
      <c r="L35" s="52"/>
      <c r="M35" s="52"/>
      <c r="N35" s="52">
        <v>50</v>
      </c>
    </row>
    <row r="36" spans="1:14" ht="21" x14ac:dyDescent="0.35">
      <c r="A36" s="37"/>
      <c r="B36" s="37"/>
      <c r="C36" s="106" t="s">
        <v>5</v>
      </c>
      <c r="D36" s="107"/>
      <c r="E36" s="107"/>
      <c r="F36" s="107"/>
      <c r="G36" s="108"/>
      <c r="H36" s="53">
        <v>4</v>
      </c>
      <c r="I36" s="52"/>
      <c r="J36" s="52"/>
      <c r="K36" s="52"/>
      <c r="L36" s="53"/>
      <c r="M36" s="53"/>
      <c r="N36" s="53">
        <v>100</v>
      </c>
    </row>
    <row r="37" spans="1:14" ht="21" x14ac:dyDescent="0.35">
      <c r="A37" s="98" t="s">
        <v>112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100"/>
    </row>
    <row r="38" spans="1:14" s="30" customFormat="1" ht="21" x14ac:dyDescent="0.35">
      <c r="A38" s="25" t="s">
        <v>113</v>
      </c>
      <c r="B38" s="39" t="s">
        <v>114</v>
      </c>
      <c r="C38" s="53" t="s">
        <v>93</v>
      </c>
      <c r="D38" s="52">
        <v>1</v>
      </c>
      <c r="E38" s="52">
        <v>1</v>
      </c>
      <c r="F38" s="52">
        <v>0</v>
      </c>
      <c r="G38" s="52">
        <v>2</v>
      </c>
      <c r="H38" s="52">
        <v>2</v>
      </c>
      <c r="I38" s="46">
        <v>30</v>
      </c>
      <c r="J38" s="46">
        <v>20</v>
      </c>
      <c r="K38" s="52"/>
      <c r="L38" s="52"/>
      <c r="M38" s="52"/>
      <c r="N38" s="52">
        <v>50</v>
      </c>
    </row>
    <row r="39" spans="1:14" ht="21" x14ac:dyDescent="0.35">
      <c r="A39" s="25" t="s">
        <v>115</v>
      </c>
      <c r="B39" s="39" t="s">
        <v>116</v>
      </c>
      <c r="C39" s="53" t="s">
        <v>93</v>
      </c>
      <c r="D39" s="52">
        <v>1</v>
      </c>
      <c r="E39" s="52">
        <v>1</v>
      </c>
      <c r="F39" s="52">
        <v>0</v>
      </c>
      <c r="G39" s="52">
        <v>2</v>
      </c>
      <c r="H39" s="52">
        <v>2</v>
      </c>
      <c r="I39" s="46">
        <v>30</v>
      </c>
      <c r="J39" s="46">
        <v>20</v>
      </c>
      <c r="K39" s="52"/>
      <c r="L39" s="52"/>
      <c r="M39" s="52"/>
      <c r="N39" s="52">
        <v>50</v>
      </c>
    </row>
    <row r="40" spans="1:14" ht="21" x14ac:dyDescent="0.35">
      <c r="A40" s="25" t="s">
        <v>117</v>
      </c>
      <c r="B40" s="39" t="s">
        <v>118</v>
      </c>
      <c r="C40" s="53" t="s">
        <v>93</v>
      </c>
      <c r="D40" s="52">
        <v>1</v>
      </c>
      <c r="E40" s="52">
        <v>1</v>
      </c>
      <c r="F40" s="52">
        <v>0</v>
      </c>
      <c r="G40" s="52">
        <v>2</v>
      </c>
      <c r="H40" s="52">
        <v>2</v>
      </c>
      <c r="I40" s="46">
        <v>30</v>
      </c>
      <c r="J40" s="46">
        <v>20</v>
      </c>
      <c r="K40" s="52"/>
      <c r="L40" s="52"/>
      <c r="M40" s="52"/>
      <c r="N40" s="52">
        <v>50</v>
      </c>
    </row>
    <row r="41" spans="1:14" ht="21" x14ac:dyDescent="0.35">
      <c r="A41" s="25" t="s">
        <v>119</v>
      </c>
      <c r="B41" s="39" t="s">
        <v>120</v>
      </c>
      <c r="C41" s="53" t="s">
        <v>93</v>
      </c>
      <c r="D41" s="52">
        <v>1</v>
      </c>
      <c r="E41" s="52">
        <v>1</v>
      </c>
      <c r="F41" s="52">
        <v>0</v>
      </c>
      <c r="G41" s="52">
        <v>2</v>
      </c>
      <c r="H41" s="52">
        <v>2</v>
      </c>
      <c r="I41" s="46">
        <v>30</v>
      </c>
      <c r="J41" s="46">
        <v>20</v>
      </c>
      <c r="K41" s="52"/>
      <c r="L41" s="52"/>
      <c r="M41" s="52"/>
      <c r="N41" s="52">
        <v>50</v>
      </c>
    </row>
    <row r="42" spans="1:14" ht="21" x14ac:dyDescent="0.35">
      <c r="A42" s="38"/>
      <c r="B42" s="38"/>
      <c r="C42" s="90" t="s">
        <v>5</v>
      </c>
      <c r="D42" s="91"/>
      <c r="E42" s="91"/>
      <c r="F42" s="91"/>
      <c r="G42" s="92"/>
      <c r="H42" s="53">
        <v>4</v>
      </c>
      <c r="I42" s="52"/>
      <c r="J42" s="52"/>
      <c r="K42" s="52"/>
      <c r="L42" s="53"/>
      <c r="M42" s="53"/>
      <c r="N42" s="53">
        <v>100</v>
      </c>
    </row>
    <row r="43" spans="1:14" ht="21" x14ac:dyDescent="0.35">
      <c r="A43" s="98" t="s">
        <v>121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100"/>
    </row>
    <row r="44" spans="1:14" ht="21" x14ac:dyDescent="0.35">
      <c r="A44" s="23" t="s">
        <v>122</v>
      </c>
      <c r="B44" s="39" t="s">
        <v>123</v>
      </c>
      <c r="C44" s="51" t="s">
        <v>93</v>
      </c>
      <c r="D44" s="52">
        <v>1</v>
      </c>
      <c r="E44" s="52">
        <v>1</v>
      </c>
      <c r="F44" s="52">
        <v>0</v>
      </c>
      <c r="G44" s="52">
        <v>2</v>
      </c>
      <c r="H44" s="52">
        <v>2</v>
      </c>
      <c r="I44" s="46">
        <v>30</v>
      </c>
      <c r="J44" s="46">
        <v>20</v>
      </c>
      <c r="K44" s="52"/>
      <c r="L44" s="52"/>
      <c r="M44" s="52"/>
      <c r="N44" s="52">
        <v>50</v>
      </c>
    </row>
    <row r="45" spans="1:14" ht="21" x14ac:dyDescent="0.35">
      <c r="A45" s="23" t="s">
        <v>124</v>
      </c>
      <c r="B45" s="39" t="s">
        <v>125</v>
      </c>
      <c r="C45" s="51" t="s">
        <v>93</v>
      </c>
      <c r="D45" s="52">
        <v>1</v>
      </c>
      <c r="E45" s="52">
        <v>1</v>
      </c>
      <c r="F45" s="52">
        <v>0</v>
      </c>
      <c r="G45" s="52">
        <v>2</v>
      </c>
      <c r="H45" s="52">
        <v>2</v>
      </c>
      <c r="I45" s="46">
        <v>30</v>
      </c>
      <c r="J45" s="46">
        <v>20</v>
      </c>
      <c r="K45" s="52"/>
      <c r="L45" s="52"/>
      <c r="M45" s="52"/>
      <c r="N45" s="52">
        <v>50</v>
      </c>
    </row>
    <row r="46" spans="1:14" ht="21" x14ac:dyDescent="0.35">
      <c r="A46" s="23" t="s">
        <v>126</v>
      </c>
      <c r="B46" s="39" t="s">
        <v>127</v>
      </c>
      <c r="C46" s="51" t="s">
        <v>93</v>
      </c>
      <c r="D46" s="52">
        <v>1</v>
      </c>
      <c r="E46" s="52">
        <v>1</v>
      </c>
      <c r="F46" s="52">
        <v>0</v>
      </c>
      <c r="G46" s="52">
        <v>2</v>
      </c>
      <c r="H46" s="52">
        <v>2</v>
      </c>
      <c r="I46" s="46">
        <v>30</v>
      </c>
      <c r="J46" s="46">
        <v>20</v>
      </c>
      <c r="K46" s="52"/>
      <c r="L46" s="52"/>
      <c r="M46" s="52"/>
      <c r="N46" s="52">
        <v>50</v>
      </c>
    </row>
    <row r="47" spans="1:14" ht="21" x14ac:dyDescent="0.35">
      <c r="A47" s="23" t="s">
        <v>128</v>
      </c>
      <c r="B47" s="40" t="s">
        <v>129</v>
      </c>
      <c r="C47" s="51" t="s">
        <v>93</v>
      </c>
      <c r="D47" s="52">
        <v>1</v>
      </c>
      <c r="E47" s="52">
        <v>1</v>
      </c>
      <c r="F47" s="52">
        <v>0</v>
      </c>
      <c r="G47" s="52">
        <v>2</v>
      </c>
      <c r="H47" s="52">
        <v>2</v>
      </c>
      <c r="I47" s="46">
        <v>30</v>
      </c>
      <c r="J47" s="46">
        <v>20</v>
      </c>
      <c r="K47" s="52"/>
      <c r="L47" s="52"/>
      <c r="M47" s="52"/>
      <c r="N47" s="52">
        <v>50</v>
      </c>
    </row>
    <row r="48" spans="1:14" ht="21" x14ac:dyDescent="0.35">
      <c r="A48" s="26"/>
      <c r="B48" s="41"/>
      <c r="C48" s="90" t="s">
        <v>5</v>
      </c>
      <c r="D48" s="91"/>
      <c r="E48" s="91"/>
      <c r="F48" s="91"/>
      <c r="G48" s="92"/>
      <c r="H48" s="59">
        <v>4</v>
      </c>
      <c r="I48" s="52"/>
      <c r="J48" s="52"/>
      <c r="K48" s="52"/>
      <c r="L48" s="53"/>
      <c r="M48" s="53"/>
      <c r="N48" s="53">
        <v>100</v>
      </c>
    </row>
    <row r="49" spans="1:14" ht="21" x14ac:dyDescent="0.35">
      <c r="A49" s="43" t="s">
        <v>154</v>
      </c>
      <c r="B49" s="60" t="s">
        <v>151</v>
      </c>
      <c r="C49" s="61" t="s">
        <v>157</v>
      </c>
      <c r="D49" s="52">
        <v>0</v>
      </c>
      <c r="E49" s="54">
        <v>1</v>
      </c>
      <c r="F49" s="52">
        <v>0</v>
      </c>
      <c r="G49" s="52">
        <v>1</v>
      </c>
      <c r="H49" s="52">
        <v>1</v>
      </c>
      <c r="I49" s="52">
        <v>25</v>
      </c>
      <c r="J49" s="52"/>
      <c r="K49" s="52"/>
      <c r="L49" s="53"/>
      <c r="M49" s="53"/>
      <c r="N49" s="52">
        <v>25</v>
      </c>
    </row>
    <row r="50" spans="1:14" ht="21" x14ac:dyDescent="0.35">
      <c r="A50" s="43" t="s">
        <v>158</v>
      </c>
      <c r="B50" s="60" t="s">
        <v>152</v>
      </c>
      <c r="C50" s="62" t="s">
        <v>158</v>
      </c>
      <c r="D50" s="52">
        <v>0</v>
      </c>
      <c r="E50" s="54">
        <v>4</v>
      </c>
      <c r="F50" s="52">
        <v>0</v>
      </c>
      <c r="G50" s="52">
        <v>4</v>
      </c>
      <c r="H50" s="52">
        <v>4</v>
      </c>
      <c r="I50" s="55"/>
      <c r="J50" s="52">
        <v>100</v>
      </c>
      <c r="K50" s="52"/>
      <c r="L50" s="53"/>
      <c r="M50" s="53" t="s">
        <v>156</v>
      </c>
      <c r="N50" s="52">
        <v>100</v>
      </c>
    </row>
    <row r="51" spans="1:14" ht="21" x14ac:dyDescent="0.35">
      <c r="A51" s="38"/>
      <c r="B51" s="42"/>
      <c r="C51" s="56" t="s">
        <v>130</v>
      </c>
      <c r="D51" s="49"/>
      <c r="E51" s="49"/>
      <c r="F51" s="57"/>
      <c r="G51" s="57"/>
      <c r="H51" s="58">
        <v>26</v>
      </c>
      <c r="I51" s="52"/>
      <c r="J51" s="52"/>
      <c r="K51" s="52"/>
      <c r="L51" s="53"/>
      <c r="M51" s="53"/>
      <c r="N51" s="53">
        <v>800</v>
      </c>
    </row>
    <row r="52" spans="1:14" x14ac:dyDescent="0.25">
      <c r="A52"/>
      <c r="B52"/>
      <c r="C52"/>
    </row>
    <row r="53" spans="1:14" ht="15.75" x14ac:dyDescent="0.25">
      <c r="A53"/>
      <c r="B53" s="14" t="s">
        <v>131</v>
      </c>
      <c r="C53" s="15" t="s">
        <v>132</v>
      </c>
      <c r="D53" s="14" t="s">
        <v>142</v>
      </c>
      <c r="G53" s="15" t="s">
        <v>140</v>
      </c>
      <c r="H53" s="15" t="s">
        <v>141</v>
      </c>
      <c r="I53" s="15" t="s">
        <v>142</v>
      </c>
      <c r="J53" s="15" t="s">
        <v>143</v>
      </c>
    </row>
    <row r="54" spans="1:14" ht="15.75" x14ac:dyDescent="0.25">
      <c r="A54"/>
      <c r="B54" s="16" t="s">
        <v>133</v>
      </c>
      <c r="C54" s="17">
        <v>16</v>
      </c>
      <c r="D54" s="17">
        <v>44</v>
      </c>
      <c r="G54" s="17">
        <v>1</v>
      </c>
      <c r="H54" s="17" t="s">
        <v>144</v>
      </c>
      <c r="I54" s="17">
        <v>26</v>
      </c>
      <c r="J54" s="17">
        <v>800</v>
      </c>
    </row>
    <row r="55" spans="1:14" ht="15.75" x14ac:dyDescent="0.25">
      <c r="A55"/>
      <c r="B55" s="16" t="s">
        <v>134</v>
      </c>
      <c r="C55" s="17">
        <v>2</v>
      </c>
      <c r="D55" s="17">
        <v>4</v>
      </c>
      <c r="G55" s="17">
        <v>1</v>
      </c>
      <c r="H55" s="17" t="s">
        <v>145</v>
      </c>
      <c r="I55" s="17">
        <v>26</v>
      </c>
      <c r="J55" s="17">
        <v>800</v>
      </c>
    </row>
    <row r="56" spans="1:14" ht="15.75" x14ac:dyDescent="0.25">
      <c r="A56"/>
      <c r="B56" s="16" t="s">
        <v>135</v>
      </c>
      <c r="C56" s="17">
        <v>2</v>
      </c>
      <c r="D56" s="17">
        <v>6</v>
      </c>
      <c r="G56" s="17">
        <v>2</v>
      </c>
      <c r="H56" s="17" t="s">
        <v>146</v>
      </c>
      <c r="I56" s="17">
        <v>26</v>
      </c>
      <c r="J56" s="17">
        <v>800</v>
      </c>
    </row>
    <row r="57" spans="1:14" ht="15.75" x14ac:dyDescent="0.25">
      <c r="A57"/>
      <c r="B57" s="16" t="s">
        <v>136</v>
      </c>
      <c r="C57" s="17">
        <v>10</v>
      </c>
      <c r="D57" s="17">
        <v>28</v>
      </c>
      <c r="G57" s="17">
        <v>2</v>
      </c>
      <c r="H57" s="17" t="s">
        <v>147</v>
      </c>
      <c r="I57" s="17">
        <v>26</v>
      </c>
      <c r="J57" s="17">
        <v>800</v>
      </c>
    </row>
    <row r="58" spans="1:14" ht="15.75" x14ac:dyDescent="0.25">
      <c r="A58"/>
      <c r="B58" s="16" t="s">
        <v>137</v>
      </c>
      <c r="C58" s="17">
        <v>2</v>
      </c>
      <c r="D58" s="17">
        <v>5</v>
      </c>
      <c r="G58" s="15" t="s">
        <v>5</v>
      </c>
      <c r="H58" s="15" t="s">
        <v>147</v>
      </c>
      <c r="I58" s="15">
        <v>104</v>
      </c>
      <c r="J58" s="15">
        <v>3200</v>
      </c>
    </row>
    <row r="59" spans="1:14" ht="15.75" x14ac:dyDescent="0.25">
      <c r="A59"/>
      <c r="B59" s="16" t="s">
        <v>81</v>
      </c>
      <c r="C59" s="17">
        <v>1</v>
      </c>
      <c r="D59" s="17">
        <v>3</v>
      </c>
    </row>
    <row r="60" spans="1:14" ht="15.75" x14ac:dyDescent="0.25">
      <c r="A60"/>
      <c r="B60" s="16" t="s">
        <v>138</v>
      </c>
      <c r="C60" s="17">
        <v>1</v>
      </c>
      <c r="D60" s="17">
        <v>8</v>
      </c>
    </row>
    <row r="61" spans="1:14" ht="15.75" x14ac:dyDescent="0.25">
      <c r="A61"/>
      <c r="B61" s="16" t="s">
        <v>139</v>
      </c>
      <c r="C61" s="17">
        <v>1</v>
      </c>
      <c r="D61" s="17">
        <v>6</v>
      </c>
    </row>
    <row r="62" spans="1:14" ht="15.75" x14ac:dyDescent="0.25">
      <c r="A62"/>
      <c r="B62" s="14" t="s">
        <v>5</v>
      </c>
      <c r="C62" s="15">
        <v>35</v>
      </c>
      <c r="D62" s="15">
        <v>104</v>
      </c>
    </row>
    <row r="63" spans="1:14" x14ac:dyDescent="0.25">
      <c r="A63"/>
      <c r="B63"/>
      <c r="C63"/>
    </row>
    <row r="64" spans="1:14" x14ac:dyDescent="0.25">
      <c r="A64"/>
      <c r="B64"/>
      <c r="C64"/>
    </row>
    <row r="65" spans="1:9" x14ac:dyDescent="0.25">
      <c r="A65"/>
      <c r="B65"/>
      <c r="C65"/>
    </row>
    <row r="66" spans="1:9" x14ac:dyDescent="0.25">
      <c r="A66"/>
      <c r="B66"/>
      <c r="C66"/>
    </row>
    <row r="67" spans="1:9" x14ac:dyDescent="0.25">
      <c r="A67"/>
      <c r="B67"/>
      <c r="C67"/>
    </row>
    <row r="68" spans="1:9" ht="14.45" customHeight="1" x14ac:dyDescent="0.25">
      <c r="A68"/>
      <c r="B68" s="101" t="s">
        <v>155</v>
      </c>
      <c r="C68" s="102" t="s">
        <v>150</v>
      </c>
      <c r="D68" s="102"/>
      <c r="G68" s="94" t="s">
        <v>148</v>
      </c>
      <c r="H68" s="94"/>
      <c r="I68" s="94"/>
    </row>
    <row r="69" spans="1:9" x14ac:dyDescent="0.25">
      <c r="A69"/>
      <c r="B69" s="101"/>
      <c r="C69" s="102"/>
      <c r="D69" s="102"/>
      <c r="G69" s="94"/>
      <c r="H69" s="94"/>
      <c r="I69" s="94"/>
    </row>
    <row r="70" spans="1:9" x14ac:dyDescent="0.25">
      <c r="A70"/>
      <c r="B70"/>
      <c r="C70"/>
    </row>
    <row r="71" spans="1:9" x14ac:dyDescent="0.25">
      <c r="A71"/>
      <c r="B71"/>
      <c r="C71"/>
    </row>
    <row r="72" spans="1:9" x14ac:dyDescent="0.25">
      <c r="A72"/>
      <c r="B72"/>
      <c r="C72"/>
    </row>
    <row r="73" spans="1:9" x14ac:dyDescent="0.25">
      <c r="A73"/>
      <c r="B73"/>
      <c r="C73"/>
    </row>
    <row r="74" spans="1:9" x14ac:dyDescent="0.25">
      <c r="A74"/>
      <c r="B74"/>
      <c r="C74"/>
    </row>
    <row r="75" spans="1:9" x14ac:dyDescent="0.25">
      <c r="A75"/>
      <c r="B75"/>
      <c r="C75"/>
    </row>
    <row r="76" spans="1:9" x14ac:dyDescent="0.25">
      <c r="A76"/>
      <c r="B76"/>
      <c r="C76"/>
    </row>
    <row r="77" spans="1:9" x14ac:dyDescent="0.25">
      <c r="A77"/>
      <c r="B77"/>
      <c r="C77"/>
    </row>
    <row r="78" spans="1:9" x14ac:dyDescent="0.25">
      <c r="A78"/>
      <c r="B78"/>
      <c r="C78"/>
    </row>
    <row r="79" spans="1:9" x14ac:dyDescent="0.25">
      <c r="A79"/>
      <c r="B79"/>
      <c r="C79"/>
    </row>
    <row r="80" spans="1:9" x14ac:dyDescent="0.25">
      <c r="A80"/>
      <c r="B80"/>
      <c r="C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</sheetData>
  <mergeCells count="29">
    <mergeCell ref="G68:I69"/>
    <mergeCell ref="A7:N7"/>
    <mergeCell ref="A14:N14"/>
    <mergeCell ref="A25:N25"/>
    <mergeCell ref="A19:N19"/>
    <mergeCell ref="A31:N31"/>
    <mergeCell ref="B68:B69"/>
    <mergeCell ref="C68:D69"/>
    <mergeCell ref="A37:N37"/>
    <mergeCell ref="A43:N43"/>
    <mergeCell ref="C13:G13"/>
    <mergeCell ref="C18:G18"/>
    <mergeCell ref="C42:G42"/>
    <mergeCell ref="C36:G36"/>
    <mergeCell ref="C30:G30"/>
    <mergeCell ref="C24:G24"/>
    <mergeCell ref="C48:G48"/>
    <mergeCell ref="N4:N5"/>
    <mergeCell ref="A1:N1"/>
    <mergeCell ref="A2:N2"/>
    <mergeCell ref="A3:A6"/>
    <mergeCell ref="B3:B6"/>
    <mergeCell ref="C3:C6"/>
    <mergeCell ref="D3:G5"/>
    <mergeCell ref="H3:H6"/>
    <mergeCell ref="I3:N3"/>
    <mergeCell ref="I4:K4"/>
    <mergeCell ref="L4:M4"/>
    <mergeCell ref="I5:J5"/>
  </mergeCells>
  <pageMargins left="0.7" right="0.7" top="0.75" bottom="0.75" header="0.3" footer="0.3"/>
  <pageSetup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a3a386-41c8-4f13-991e-36e6671e71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12B0C0EED5641AB0A5C4DA197601D" ma:contentTypeVersion="18" ma:contentTypeDescription="Create a new document." ma:contentTypeScope="" ma:versionID="3f7e3c8e88a9d6886ef486d9c3eaef44">
  <xsd:schema xmlns:xsd="http://www.w3.org/2001/XMLSchema" xmlns:xs="http://www.w3.org/2001/XMLSchema" xmlns:p="http://schemas.microsoft.com/office/2006/metadata/properties" xmlns:ns3="75b29222-64c5-487a-9a95-02c5f919a1ea" xmlns:ns4="fca3a386-41c8-4f13-991e-36e6671e717b" targetNamespace="http://schemas.microsoft.com/office/2006/metadata/properties" ma:root="true" ma:fieldsID="8c2214caab5e98e865479fb6f46b3e59" ns3:_="" ns4:_="">
    <xsd:import namespace="75b29222-64c5-487a-9a95-02c5f919a1ea"/>
    <xsd:import namespace="fca3a386-41c8-4f13-991e-36e6671e717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29222-64c5-487a-9a95-02c5f919a1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3a386-41c8-4f13-991e-36e6671e71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BC0D6E-1BF5-4DBC-B43F-1A78BC0C7CA9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ca3a386-41c8-4f13-991e-36e6671e717b"/>
    <ds:schemaRef ds:uri="75b29222-64c5-487a-9a95-02c5f919a1e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BC0C239-38F6-42FA-BCA3-138558903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b29222-64c5-487a-9a95-02c5f919a1ea"/>
    <ds:schemaRef ds:uri="fca3a386-41c8-4f13-991e-36e6671e7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0689E9-4402-4B95-98C0-0685147AF3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Semester I</vt:lpstr>
      <vt:lpstr>Semester II</vt:lpstr>
      <vt:lpstr>'Semester 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Priyanka Pawar</dc:creator>
  <cp:lastModifiedBy>akshay surve</cp:lastModifiedBy>
  <cp:lastPrinted>2026-05-20T07:08:08Z</cp:lastPrinted>
  <dcterms:created xsi:type="dcterms:W3CDTF">2026-03-28T08:58:50Z</dcterms:created>
  <dcterms:modified xsi:type="dcterms:W3CDTF">2026-06-29T04:57:18Z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0x010100FA612B0C0EED5641AB0A5C4DA197601D</vt:lpwstr>
  </property>
</Properties>
</file>