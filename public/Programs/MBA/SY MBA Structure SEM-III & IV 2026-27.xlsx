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B166C4-027E-4A76-8353-C0A1562A03B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emester III" sheetId="3" r:id="rId1"/>
    <sheet name="Semester IV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4" l="1"/>
  <c r="G36" i="4"/>
  <c r="G35" i="4"/>
  <c r="G34" i="4"/>
  <c r="G33" i="4"/>
  <c r="G32" i="4"/>
  <c r="G31" i="4"/>
  <c r="G30" i="4"/>
  <c r="G38" i="3"/>
  <c r="G37" i="3"/>
  <c r="G36" i="3"/>
  <c r="G35" i="3"/>
  <c r="G34" i="3"/>
  <c r="G33" i="3"/>
  <c r="G32" i="3"/>
  <c r="G31" i="3"/>
</calcChain>
</file>

<file path=xl/sharedStrings.xml><?xml version="1.0" encoding="utf-8"?>
<sst xmlns="http://schemas.openxmlformats.org/spreadsheetml/2006/main" count="406" uniqueCount="264">
  <si>
    <t>Indira College of Engineering and Management (An autonomous Institute)</t>
  </si>
  <si>
    <t>Course Code</t>
  </si>
  <si>
    <t>Name of the Course</t>
  </si>
  <si>
    <t>L</t>
  </si>
  <si>
    <t xml:space="preserve">T </t>
  </si>
  <si>
    <t>Total</t>
  </si>
  <si>
    <t>P</t>
  </si>
  <si>
    <t>Credit</t>
  </si>
  <si>
    <t>Evaluation Scheme</t>
  </si>
  <si>
    <t>Theory</t>
  </si>
  <si>
    <t>Project</t>
  </si>
  <si>
    <t>Total Marks</t>
  </si>
  <si>
    <t>Teaching Scheme</t>
  </si>
  <si>
    <t>Summative Assessment</t>
  </si>
  <si>
    <t>Formative Assessment</t>
  </si>
  <si>
    <t>Formative Assessment(50)</t>
  </si>
  <si>
    <t>TAE(40)</t>
  </si>
  <si>
    <t>CAE(10)</t>
  </si>
  <si>
    <t>Summative Assessment (50)</t>
  </si>
  <si>
    <t>Course Category as per NEP</t>
  </si>
  <si>
    <t>INT</t>
  </si>
  <si>
    <t>EXT</t>
  </si>
  <si>
    <t>GC</t>
  </si>
  <si>
    <t>SE</t>
  </si>
  <si>
    <t>Year</t>
  </si>
  <si>
    <t>Sem</t>
  </si>
  <si>
    <t>Credits</t>
  </si>
  <si>
    <t>Marks</t>
  </si>
  <si>
    <t>I</t>
  </si>
  <si>
    <t>II</t>
  </si>
  <si>
    <t>III</t>
  </si>
  <si>
    <t>IV</t>
  </si>
  <si>
    <t>Semester III - Generic / Subject Core</t>
  </si>
  <si>
    <t>GC - 14</t>
  </si>
  <si>
    <t>Strategic Management</t>
  </si>
  <si>
    <t>SC 01</t>
  </si>
  <si>
    <t>SC</t>
  </si>
  <si>
    <t>OJT 01</t>
  </si>
  <si>
    <t>Summer Internship Program/On the Job Training</t>
  </si>
  <si>
    <t>OJT</t>
  </si>
  <si>
    <t>Semester III – Marketing Specialization Core Courses</t>
  </si>
  <si>
    <t xml:space="preserve">SC MKT- 01 </t>
  </si>
  <si>
    <t>Services Marketing</t>
  </si>
  <si>
    <t>Semester III - Specialization Elective - Any 4 - Marketing</t>
  </si>
  <si>
    <t>SE - MKT – 05</t>
  </si>
  <si>
    <t xml:space="preserve">Personal Selling Lab </t>
  </si>
  <si>
    <t>SE - MKT – 06</t>
  </si>
  <si>
    <t xml:space="preserve">Product &amp; Brand Management </t>
  </si>
  <si>
    <t>SE - MKT – 07</t>
  </si>
  <si>
    <t xml:space="preserve">Sales &amp; Distribution Management </t>
  </si>
  <si>
    <t>SE - MKT – 08</t>
  </si>
  <si>
    <t xml:space="preserve">Business to Business Marketing  </t>
  </si>
  <si>
    <t>SE - MKT – 09</t>
  </si>
  <si>
    <t>International Marketing</t>
  </si>
  <si>
    <t>SE - MKT – 010</t>
  </si>
  <si>
    <t>Integrated Marketing Communications</t>
  </si>
  <si>
    <t>SE - MKT – 011</t>
  </si>
  <si>
    <t>Marketing Analytics</t>
  </si>
  <si>
    <t>SE - MKT – 012</t>
  </si>
  <si>
    <t>Marketing 4.0</t>
  </si>
  <si>
    <t>Semester III – Finance Specialization Core Courses</t>
  </si>
  <si>
    <t>SC FIN- 01</t>
  </si>
  <si>
    <t>Advanced Financial Management</t>
  </si>
  <si>
    <t>Semester III – Specialization Elective - Any 4 - Finance</t>
  </si>
  <si>
    <t>SE - FIN- 05</t>
  </si>
  <si>
    <t>Digital Banking</t>
  </si>
  <si>
    <t>SE - FIN- 06</t>
  </si>
  <si>
    <t>Financial Literacy</t>
  </si>
  <si>
    <t>SE - FIN- 07</t>
  </si>
  <si>
    <t>Indirect Taxation</t>
  </si>
  <si>
    <t>SE - FIN– 08</t>
  </si>
  <si>
    <t>Personal Financial Planning</t>
  </si>
  <si>
    <t>SE - FIN– 09</t>
  </si>
  <si>
    <t>Financial Securities Evaluation and Portfolio Design</t>
  </si>
  <si>
    <t>SE - FIN– 010</t>
  </si>
  <si>
    <t>Insurance Legislation and Compliance</t>
  </si>
  <si>
    <t>SE - FIN– 011</t>
  </si>
  <si>
    <t>Financial Reporting</t>
  </si>
  <si>
    <t>SE - FIN– 012</t>
  </si>
  <si>
    <t>International Finance</t>
  </si>
  <si>
    <t>Semester III - Human Resource Management Core Courses</t>
  </si>
  <si>
    <t>SC HRM- 01</t>
  </si>
  <si>
    <t>Strategic Human Resource Management</t>
  </si>
  <si>
    <t>Semester III - Specialization Elective - Any 4 - Human Resource Management</t>
  </si>
  <si>
    <t>SE - HR - 05</t>
  </si>
  <si>
    <t>International HR</t>
  </si>
  <si>
    <t>SE - HR - 06</t>
  </si>
  <si>
    <t>Talent Acquisition &amp; Talent Management</t>
  </si>
  <si>
    <t>SE - HR - 07</t>
  </si>
  <si>
    <t>HR Analytics</t>
  </si>
  <si>
    <t>SE - HR – 08</t>
  </si>
  <si>
    <t>Employee Relations and Labour Legislations</t>
  </si>
  <si>
    <t>SE - HR – 09</t>
  </si>
  <si>
    <t>HR Perspective in Merger &amp; Acquisition</t>
  </si>
  <si>
    <t>SE - HR – 010</t>
  </si>
  <si>
    <t>Labour Economics &amp; Costing</t>
  </si>
  <si>
    <t>SE - HR – 011</t>
  </si>
  <si>
    <t>Competency Based Human Resource Management System</t>
  </si>
  <si>
    <t>SE - HR – 012</t>
  </si>
  <si>
    <t>Conflict management and Negotiation Skills</t>
  </si>
  <si>
    <t>Semester III – Operations and Supply Chain Management Subject Core Courses</t>
  </si>
  <si>
    <t>SC OPE- 01</t>
  </si>
  <si>
    <t>Services Operations Management</t>
  </si>
  <si>
    <t>Semester III – Specialization Elective - Any 4 - Operations and Supply Chain Management</t>
  </si>
  <si>
    <t>SE - OPE - 05</t>
  </si>
  <si>
    <t>Logistics Management</t>
  </si>
  <si>
    <t>SE - OPE- 06</t>
  </si>
  <si>
    <t>Supply Chain Analytics</t>
  </si>
  <si>
    <t>SE - OPE- 07</t>
  </si>
  <si>
    <t xml:space="preserve">Operations &amp; Service Strategy </t>
  </si>
  <si>
    <t>SE - OPE– 08</t>
  </si>
  <si>
    <t xml:space="preserve">Theory of Constraints </t>
  </si>
  <si>
    <t>SE - OPE– 09</t>
  </si>
  <si>
    <t>Manufacturing Resource Planning</t>
  </si>
  <si>
    <t>SE - OPE– 010</t>
  </si>
  <si>
    <t>Strategic Supply Chain Management</t>
  </si>
  <si>
    <t>SE - OPE– 011</t>
  </si>
  <si>
    <t>Business Excellence</t>
  </si>
  <si>
    <t>SE - OPE– 012</t>
  </si>
  <si>
    <t>Service Value Chain Management</t>
  </si>
  <si>
    <t>Semester III – Business Analytics Subject Core Courses</t>
  </si>
  <si>
    <t>SC BA – 01</t>
  </si>
  <si>
    <t>Python</t>
  </si>
  <si>
    <t>Semester III - Specialization Elective - Any 4 - Business Analytics</t>
  </si>
  <si>
    <t xml:space="preserve">SE - BA – 05 </t>
  </si>
  <si>
    <t xml:space="preserve">Machine Learning &amp; Cognitive intelligence using Python </t>
  </si>
  <si>
    <t xml:space="preserve">SE - BA – 06 </t>
  </si>
  <si>
    <t>Advanced Statistical Methods using R</t>
  </si>
  <si>
    <t>SE - BA - 07</t>
  </si>
  <si>
    <t>Cognos Analytics</t>
  </si>
  <si>
    <t>SE - BA – 08</t>
  </si>
  <si>
    <t xml:space="preserve">Visual Analytics </t>
  </si>
  <si>
    <t>SE - BA – 09</t>
  </si>
  <si>
    <t>E Commerce Analytics-I</t>
  </si>
  <si>
    <t>SE - BA – 010</t>
  </si>
  <si>
    <t>Industrial Internet of Things</t>
  </si>
  <si>
    <t>SE - BA – 011</t>
  </si>
  <si>
    <t>Supply &amp; Operation Chain Analytics</t>
  </si>
  <si>
    <t>SE - BA – 012</t>
  </si>
  <si>
    <t>Economics of Network Industries</t>
  </si>
  <si>
    <t>Grand Total Sem III</t>
  </si>
  <si>
    <t>Second Year MBA Semester III Structure</t>
  </si>
  <si>
    <t>Second Year MBA Semester IV Structure</t>
  </si>
  <si>
    <t xml:space="preserve">Semester IV - Generic / Subject Core
</t>
  </si>
  <si>
    <t>GC - 15</t>
  </si>
  <si>
    <t>Indian Ethos &amp; Business Ethics </t>
  </si>
  <si>
    <t>GC - 16</t>
  </si>
  <si>
    <t xml:space="preserve"> Performance Management</t>
  </si>
  <si>
    <t>SC - 01</t>
  </si>
  <si>
    <t xml:space="preserve">RP </t>
  </si>
  <si>
    <t xml:space="preserve">Research project </t>
  </si>
  <si>
    <t>RP</t>
  </si>
  <si>
    <t>Semester IV – Marketing Specialization Core Courses</t>
  </si>
  <si>
    <t>SC MKT- 02</t>
  </si>
  <si>
    <t>Marketing Strategy</t>
  </si>
  <si>
    <t>Semester IV – Specialization Elective - Any 4- Marketing</t>
  </si>
  <si>
    <t>SE - MKT- 13</t>
  </si>
  <si>
    <t>Marketing 5.0</t>
  </si>
  <si>
    <t>SE - MKT- 14</t>
  </si>
  <si>
    <t>Rural &amp; Agriculture Marketing</t>
  </si>
  <si>
    <t>SE - MKT- 15</t>
  </si>
  <si>
    <t xml:space="preserve">Customer Relationship Management  </t>
  </si>
  <si>
    <t>SE - MKT- 16</t>
  </si>
  <si>
    <t>Digital Marketing-II</t>
  </si>
  <si>
    <t>SE - MKT- 17</t>
  </si>
  <si>
    <t>Retail Marketing</t>
  </si>
  <si>
    <t>SE - MKT - 18</t>
  </si>
  <si>
    <t>Marketing of Financial Services</t>
  </si>
  <si>
    <t>SE - MKT- 19</t>
  </si>
  <si>
    <t>Recent trends in Marketing</t>
  </si>
  <si>
    <t>SE - MKT- 20</t>
  </si>
  <si>
    <t>Contemporary Market Research</t>
  </si>
  <si>
    <t>Semester IV – Finance Specialization Core Courses</t>
  </si>
  <si>
    <t>SC FIN- 02</t>
  </si>
  <si>
    <t>Financial Markets and Banking Operations</t>
  </si>
  <si>
    <t>Semester IV - Specialization Elective - Any 4 – Finance</t>
  </si>
  <si>
    <t>SE - FIN- 13</t>
  </si>
  <si>
    <t>Rural and Micro Finance</t>
  </si>
  <si>
    <t>SE - FIN- 14</t>
  </si>
  <si>
    <t>Current Trends &amp; Cases in Finance</t>
  </si>
  <si>
    <t>SE - FIN- 15</t>
  </si>
  <si>
    <t>Financial Modeling</t>
  </si>
  <si>
    <t>SE - FIN- 16</t>
  </si>
  <si>
    <t>Fixed Income Securities</t>
  </si>
  <si>
    <t>SE - FIN- 17</t>
  </si>
  <si>
    <t xml:space="preserve"> Project Finance and Trade Finance</t>
  </si>
  <si>
    <t>SE - FIN- 18</t>
  </si>
  <si>
    <t>Strategic Cost Management</t>
  </si>
  <si>
    <t>SE - FIN- 19</t>
  </si>
  <si>
    <t>Corporate Financial Restructuring</t>
  </si>
  <si>
    <t>SE - FIN- 20</t>
  </si>
  <si>
    <t>Commodities Market</t>
  </si>
  <si>
    <t>Semester IV – Human Resource Management Specialization Core Courses</t>
  </si>
  <si>
    <t>SC HR- 02</t>
  </si>
  <si>
    <t>Labour Welfare</t>
  </si>
  <si>
    <t>Semester IV - Specialization Elective - Any 4 - Human Resource Management</t>
  </si>
  <si>
    <t>SE - HR - 13</t>
  </si>
  <si>
    <t>Best Practices in HRM</t>
  </si>
  <si>
    <t>SE - HR - 14</t>
  </si>
  <si>
    <t>SE - HR - 15</t>
  </si>
  <si>
    <t xml:space="preserve">e HRM </t>
  </si>
  <si>
    <t>SE - HR - 16</t>
  </si>
  <si>
    <t>Performance Management System</t>
  </si>
  <si>
    <t>SE - HR - 17</t>
  </si>
  <si>
    <t>Change Management &amp; New Technologies in HRM</t>
  </si>
  <si>
    <t>SE - HR - 18</t>
  </si>
  <si>
    <t xml:space="preserve">Designing HR Policies </t>
  </si>
  <si>
    <t>SE - HR - 19</t>
  </si>
  <si>
    <t>Mentoring &amp; Coaching</t>
  </si>
  <si>
    <t>SE - HR - 20</t>
  </si>
  <si>
    <t>Employee Engagement and Ownership</t>
  </si>
  <si>
    <t xml:space="preserve">Compensation &amp; Reward Management </t>
  </si>
  <si>
    <t>Semester IV – Operations and Supply Chain Management Specialization Core Courses</t>
  </si>
  <si>
    <t>SC OSCM- 02</t>
  </si>
  <si>
    <t>Supply Chain Management</t>
  </si>
  <si>
    <t>Semester IV - Specialization Elective - Any 4 - Operations and Supply Chain Management</t>
  </si>
  <si>
    <t>SE - OPE- 13</t>
  </si>
  <si>
    <t>Industry 4.0</t>
  </si>
  <si>
    <t>SE - OPE- 14</t>
  </si>
  <si>
    <t>Six Sigma for Operations</t>
  </si>
  <si>
    <t>SE - OPE- 15</t>
  </si>
  <si>
    <t>Toyota Production System</t>
  </si>
  <si>
    <t>SE - OPE- 16</t>
  </si>
  <si>
    <t>Supply Chain Strategy</t>
  </si>
  <si>
    <t>SE - OPE- 17</t>
  </si>
  <si>
    <t>World Class Manufacturing</t>
  </si>
  <si>
    <t>SE - OPE- 18</t>
  </si>
  <si>
    <t>Financial Perspectives in Operations Management</t>
  </si>
  <si>
    <t>SE - OPE- 19</t>
  </si>
  <si>
    <t>Facilities Planning</t>
  </si>
  <si>
    <t>SE - OPE- 20</t>
  </si>
  <si>
    <t>Sustainable Supply Chains</t>
  </si>
  <si>
    <t>Semester IV – Business Analytics Specialization Core Courses</t>
  </si>
  <si>
    <t>SC BA- 02</t>
  </si>
  <si>
    <t>Artificial Intelligence in Business Applications</t>
  </si>
  <si>
    <t>Semester IV - Specialization Elective - Business Analytics</t>
  </si>
  <si>
    <t>SE - BA- 13</t>
  </si>
  <si>
    <t>Workforce Analytics</t>
  </si>
  <si>
    <t>SE - BA- 14</t>
  </si>
  <si>
    <t>Social media, Web &amp; Text Analytics</t>
  </si>
  <si>
    <t>SE - BA- 15</t>
  </si>
  <si>
    <t>Sparks &amp; Scala</t>
  </si>
  <si>
    <t>SE - BA- 16</t>
  </si>
  <si>
    <t>E Commerce Analytics-II</t>
  </si>
  <si>
    <t>SE - BA- 17</t>
  </si>
  <si>
    <t>Healthcare Analytics</t>
  </si>
  <si>
    <t>SE - BA- 18</t>
  </si>
  <si>
    <t>Predictive Modelling using SPSS Modeler</t>
  </si>
  <si>
    <t>SE - BA- 19</t>
  </si>
  <si>
    <t xml:space="preserve">Marketing Analytics </t>
  </si>
  <si>
    <t>SE - BA- 20</t>
  </si>
  <si>
    <t xml:space="preserve">Retailing Analytics </t>
  </si>
  <si>
    <t>Principal                                                                     Dr. Nilesh Uke</t>
  </si>
  <si>
    <t>Semester III - SIP/OJT - Compulsory for all Specialisations</t>
  </si>
  <si>
    <t xml:space="preserve">Dr. Meghana Bhilare                      VC Nominee </t>
  </si>
  <si>
    <t>Grand Total Sem IV</t>
  </si>
  <si>
    <t xml:space="preserve">Skill Development ( Additional subject ) </t>
  </si>
  <si>
    <t xml:space="preserve">Introduction to constitution ( Additional subject </t>
  </si>
  <si>
    <t xml:space="preserve">SD 01 </t>
  </si>
  <si>
    <t xml:space="preserve">SD02 </t>
  </si>
  <si>
    <t xml:space="preserve">ITC01 </t>
  </si>
  <si>
    <t xml:space="preserve">                    BOS Chairman                                                                                                            Dr.Archana Salve             </t>
  </si>
  <si>
    <t>ITC-01</t>
  </si>
  <si>
    <t>Introduction to constitution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</si>
</sst>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libri"/>
      <family val="2"/>
    </font>
    <font>
      <b/>
      <sz val="11"/>
      <color rgb="FF000000"/>
      <name val="Times New Roman"/>
      <family val="1"/>
    </font>
    <font>
      <sz val="12"/>
      <color theme="1"/>
      <name val="Aptos Narrow"/>
      <family val="2"/>
      <scheme val="minor"/>
    </font>
    <font>
      <sz val="12"/>
      <color rgb="FFEE0000"/>
      <name val="Times New Roman"/>
      <family val="1"/>
    </font>
    <font>
      <sz val="12"/>
      <color rgb="FFFF0000"/>
      <name val="Aptos Narrow"/>
      <family val="2"/>
      <scheme val="minor"/>
    </font>
    <font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0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0" borderId="13" xfId="0" applyFont="1" applyBorder="1" applyAlignment="1">
      <alignment vertical="center" wrapText="1"/>
    </xf>
    <xf numFmtId="0" fontId="1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14" xfId="0" applyBorder="1"/>
    <xf numFmtId="0" fontId="5" fillId="0" borderId="14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5" fillId="0" borderId="1" xfId="0" applyFont="1" applyBorder="1"/>
    <xf numFmtId="0" fontId="7" fillId="0" borderId="14" xfId="0" applyFont="1" applyBorder="1"/>
    <xf numFmtId="0" fontId="2" fillId="0" borderId="14" xfId="0" applyFont="1" applyBorder="1" applyAlignment="1">
      <alignment horizontal="center"/>
    </xf>
    <xf numFmtId="0" fontId="15" fillId="0" borderId="0" xfId="0" applyFont="1"/>
    <xf numFmtId="0" fontId="3" fillId="0" borderId="0" xfId="0" applyFont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wrapText="1"/>
    </xf>
    <xf numFmtId="0" fontId="15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2" fillId="0" borderId="16" xfId="0" applyFont="1" applyBorder="1" applyAlignment="1">
      <alignment vertical="center" wrapText="1"/>
    </xf>
    <xf numFmtId="0" fontId="5" fillId="0" borderId="17" xfId="0" applyFont="1" applyBorder="1" applyAlignment="1">
      <alignment horizontal="center" wrapText="1"/>
    </xf>
    <xf numFmtId="0" fontId="12" fillId="0" borderId="1" xfId="0" applyFont="1" applyBorder="1" applyAlignment="1">
      <alignment vertical="center" wrapText="1"/>
    </xf>
    <xf numFmtId="0" fontId="0" fillId="0" borderId="14" xfId="0" applyBorder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659423</xdr:colOff>
      <xdr:row>86</xdr:row>
      <xdr:rowOff>167472</xdr:rowOff>
    </xdr:from>
    <xdr:to>
      <xdr:col>1</xdr:col>
      <xdr:colOff>1453173</xdr:colOff>
      <xdr:row>88</xdr:row>
      <xdr:rowOff>118954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87E7B2-535B-4DAC-88CD-AC13341DBF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02" t="28403" r="42382" b="21758"/>
        <a:stretch>
          <a:fillRect/>
        </a:stretch>
      </xdr:blipFill>
      <xdr:spPr bwMode="auto">
        <a:xfrm>
          <a:off x="1907198" y="19646097"/>
          <a:ext cx="793750" cy="33248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282610</xdr:colOff>
      <xdr:row>86</xdr:row>
      <xdr:rowOff>125605</xdr:rowOff>
    </xdr:from>
    <xdr:to>
      <xdr:col>7</xdr:col>
      <xdr:colOff>535619</xdr:colOff>
      <xdr:row>88</xdr:row>
      <xdr:rowOff>88517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4AB983-EBB4-4812-841E-28C1AE7CC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0235" y="19604230"/>
          <a:ext cx="757834" cy="34391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659423</xdr:colOff>
      <xdr:row>86</xdr:row>
      <xdr:rowOff>167471</xdr:rowOff>
    </xdr:from>
    <xdr:to>
      <xdr:col>2</xdr:col>
      <xdr:colOff>1236003</xdr:colOff>
      <xdr:row>88</xdr:row>
      <xdr:rowOff>110063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6DD39C-EDEF-4E02-B47F-B450C381B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2873" y="19646096"/>
          <a:ext cx="576580" cy="3235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659423</xdr:colOff>
      <xdr:row>94</xdr:row>
      <xdr:rowOff>167472</xdr:rowOff>
    </xdr:from>
    <xdr:to>
      <xdr:col>1</xdr:col>
      <xdr:colOff>1453173</xdr:colOff>
      <xdr:row>96</xdr:row>
      <xdr:rowOff>128480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2141BA-B199-48F3-A54A-CE872F0ADD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02" t="28403" r="42382" b="21758"/>
        <a:stretch>
          <a:fillRect/>
        </a:stretch>
      </xdr:blipFill>
      <xdr:spPr bwMode="auto">
        <a:xfrm>
          <a:off x="1907198" y="17379147"/>
          <a:ext cx="793750" cy="33248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282610</xdr:colOff>
      <xdr:row>94</xdr:row>
      <xdr:rowOff>125605</xdr:rowOff>
    </xdr:from>
    <xdr:to>
      <xdr:col>7</xdr:col>
      <xdr:colOff>440369</xdr:colOff>
      <xdr:row>96</xdr:row>
      <xdr:rowOff>98043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C0B7FC-6593-4C3F-A72F-5542AA29C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7435" y="17337280"/>
          <a:ext cx="757834" cy="34391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659423</xdr:colOff>
      <xdr:row>94</xdr:row>
      <xdr:rowOff>167471</xdr:rowOff>
    </xdr:from>
    <xdr:to>
      <xdr:col>2</xdr:col>
      <xdr:colOff>1236003</xdr:colOff>
      <xdr:row>96</xdr:row>
      <xdr:rowOff>119589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98395B-C24A-4352-843D-9D4E2C768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6273" y="17379146"/>
          <a:ext cx="576580" cy="323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zoomScaleNormal="100" workbookViewId="0">
      <selection activeCell="J10" sqref="J10"/>
    </sheetView>
  </sheetViews>
  <sheetFormatPr defaultRowHeight="15" x14ac:dyDescent="0.25"/>
  <cols>
    <col min="1" max="1" width="16.85546875" style="2" bestFit="1" customWidth="1"/>
    <col min="2" max="2" width="59.140625" style="2" bestFit="1" customWidth="1"/>
    <col min="3" max="3" width="20.42578125" style="2" customWidth="1"/>
    <col min="4" max="4" width="3" bestFit="1" customWidth="1"/>
    <col min="5" max="5" width="3.85546875" bestFit="1" customWidth="1"/>
    <col min="6" max="6" width="3" bestFit="1" customWidth="1"/>
    <col min="7" max="7" width="7.5703125" bestFit="1" customWidth="1"/>
    <col min="8" max="8" width="8.7109375" bestFit="1" customWidth="1"/>
    <col min="9" max="9" width="9.140625" bestFit="1" customWidth="1"/>
    <col min="10" max="10" width="15.140625" customWidth="1"/>
    <col min="11" max="11" width="16.5703125" customWidth="1"/>
    <col min="12" max="13" width="12.42578125" bestFit="1" customWidth="1"/>
    <col min="14" max="14" width="9.140625" bestFit="1" customWidth="1"/>
  </cols>
  <sheetData>
    <row r="1" spans="1:14" ht="20.25" x14ac:dyDescent="0.3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 ht="20.25" x14ac:dyDescent="0.3">
      <c r="A2" s="80" t="s">
        <v>141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4" ht="18.75" x14ac:dyDescent="0.3">
      <c r="A3" s="81" t="s">
        <v>1</v>
      </c>
      <c r="B3" s="81" t="s">
        <v>2</v>
      </c>
      <c r="C3" s="81" t="s">
        <v>19</v>
      </c>
      <c r="D3" s="81" t="s">
        <v>12</v>
      </c>
      <c r="E3" s="81"/>
      <c r="F3" s="81"/>
      <c r="G3" s="81"/>
      <c r="H3" s="82" t="s">
        <v>7</v>
      </c>
      <c r="I3" s="83" t="s">
        <v>8</v>
      </c>
      <c r="J3" s="83"/>
      <c r="K3" s="83"/>
      <c r="L3" s="83"/>
      <c r="M3" s="83"/>
      <c r="N3" s="83"/>
    </row>
    <row r="4" spans="1:14" ht="37.5" x14ac:dyDescent="0.3">
      <c r="A4" s="81"/>
      <c r="B4" s="81"/>
      <c r="C4" s="81"/>
      <c r="D4" s="81"/>
      <c r="E4" s="81"/>
      <c r="F4" s="81"/>
      <c r="G4" s="81"/>
      <c r="H4" s="82"/>
      <c r="I4" s="83" t="s">
        <v>9</v>
      </c>
      <c r="J4" s="83"/>
      <c r="K4" s="83"/>
      <c r="L4" s="83" t="s">
        <v>10</v>
      </c>
      <c r="M4" s="83"/>
      <c r="N4" s="50" t="s">
        <v>11</v>
      </c>
    </row>
    <row r="5" spans="1:14" ht="30.75" customHeight="1" x14ac:dyDescent="0.25">
      <c r="A5" s="81"/>
      <c r="B5" s="81"/>
      <c r="C5" s="81"/>
      <c r="D5" s="81"/>
      <c r="E5" s="81"/>
      <c r="F5" s="81"/>
      <c r="G5" s="81"/>
      <c r="H5" s="82"/>
      <c r="I5" s="103" t="s">
        <v>15</v>
      </c>
      <c r="J5" s="103"/>
      <c r="K5" s="13" t="s">
        <v>18</v>
      </c>
      <c r="L5" s="39" t="s">
        <v>14</v>
      </c>
      <c r="M5" s="39" t="s">
        <v>13</v>
      </c>
      <c r="N5" s="4"/>
    </row>
    <row r="6" spans="1:14" ht="20.25" customHeight="1" x14ac:dyDescent="0.3">
      <c r="A6" s="81"/>
      <c r="B6" s="81"/>
      <c r="C6" s="81"/>
      <c r="D6" s="1" t="s">
        <v>3</v>
      </c>
      <c r="E6" s="1" t="s">
        <v>4</v>
      </c>
      <c r="F6" s="1" t="s">
        <v>6</v>
      </c>
      <c r="G6" s="1" t="s">
        <v>5</v>
      </c>
      <c r="H6" s="82"/>
      <c r="I6" s="5" t="s">
        <v>16</v>
      </c>
      <c r="J6" s="5" t="s">
        <v>17</v>
      </c>
      <c r="K6" s="5"/>
      <c r="L6" s="5" t="s">
        <v>20</v>
      </c>
      <c r="M6" s="5" t="s">
        <v>21</v>
      </c>
      <c r="N6" s="4"/>
    </row>
    <row r="7" spans="1:14" ht="20.25" customHeight="1" x14ac:dyDescent="0.25">
      <c r="A7" s="100" t="s">
        <v>32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75" x14ac:dyDescent="0.25">
      <c r="A8" s="13" t="s">
        <v>33</v>
      </c>
      <c r="B8" s="14" t="s">
        <v>34</v>
      </c>
      <c r="C8" s="10" t="s">
        <v>22</v>
      </c>
      <c r="D8" s="12">
        <v>2</v>
      </c>
      <c r="E8" s="12">
        <v>1</v>
      </c>
      <c r="F8" s="12">
        <v>0</v>
      </c>
      <c r="G8" s="12">
        <v>3</v>
      </c>
      <c r="H8" s="12">
        <v>3</v>
      </c>
      <c r="I8" s="12">
        <v>20</v>
      </c>
      <c r="J8" s="12">
        <v>20</v>
      </c>
      <c r="K8" s="12">
        <v>60</v>
      </c>
      <c r="L8" s="12"/>
      <c r="M8" s="12"/>
      <c r="N8" s="6">
        <v>100</v>
      </c>
    </row>
    <row r="9" spans="1:14" ht="15.75" x14ac:dyDescent="0.25">
      <c r="A9" s="13" t="s">
        <v>35</v>
      </c>
      <c r="B9" s="14"/>
      <c r="C9" s="10"/>
      <c r="D9" s="11"/>
      <c r="E9" s="11"/>
      <c r="F9" s="11"/>
      <c r="G9" s="11"/>
      <c r="H9" s="12"/>
      <c r="I9" s="12"/>
      <c r="J9" s="12"/>
      <c r="K9" s="12"/>
      <c r="L9" s="12"/>
      <c r="M9" s="12"/>
      <c r="N9" s="6"/>
    </row>
    <row r="10" spans="1:14" ht="15.75" x14ac:dyDescent="0.25">
      <c r="A10" s="13"/>
      <c r="B10" s="14"/>
      <c r="C10" s="15" t="s">
        <v>5</v>
      </c>
      <c r="D10" s="11"/>
      <c r="E10" s="11"/>
      <c r="F10" s="11"/>
      <c r="G10" s="11"/>
      <c r="H10" s="6">
        <v>3</v>
      </c>
      <c r="I10" s="12"/>
      <c r="J10" s="12"/>
      <c r="K10" s="12"/>
      <c r="L10" s="12"/>
      <c r="M10" s="12"/>
      <c r="N10" s="6">
        <v>100</v>
      </c>
    </row>
    <row r="11" spans="1:14" ht="15.75" x14ac:dyDescent="0.25">
      <c r="A11" s="61" t="s">
        <v>253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3"/>
    </row>
    <row r="12" spans="1:14" ht="15.75" x14ac:dyDescent="0.25">
      <c r="A12" s="13" t="s">
        <v>37</v>
      </c>
      <c r="B12" s="14" t="s">
        <v>38</v>
      </c>
      <c r="C12" s="10" t="s">
        <v>39</v>
      </c>
      <c r="D12" s="12">
        <v>0</v>
      </c>
      <c r="E12" s="12">
        <v>0</v>
      </c>
      <c r="F12" s="12">
        <v>8</v>
      </c>
      <c r="G12" s="12">
        <v>8</v>
      </c>
      <c r="H12" s="12">
        <v>8</v>
      </c>
      <c r="I12" s="12"/>
      <c r="J12" s="12"/>
      <c r="K12" s="11"/>
      <c r="L12" s="12">
        <v>100</v>
      </c>
      <c r="M12" s="12">
        <v>100</v>
      </c>
      <c r="N12" s="12">
        <v>200</v>
      </c>
    </row>
    <row r="13" spans="1:14" ht="15.75" x14ac:dyDescent="0.25">
      <c r="A13" s="13"/>
      <c r="B13" s="14"/>
      <c r="C13" s="19" t="s">
        <v>5</v>
      </c>
      <c r="D13" s="11"/>
      <c r="E13" s="11"/>
      <c r="F13" s="11"/>
      <c r="G13" s="11"/>
      <c r="H13" s="12">
        <v>8</v>
      </c>
      <c r="I13" s="12"/>
      <c r="J13" s="12"/>
      <c r="K13" s="11"/>
      <c r="L13" s="6">
        <v>100</v>
      </c>
      <c r="M13" s="6">
        <v>100</v>
      </c>
      <c r="N13" s="6">
        <v>200</v>
      </c>
    </row>
    <row r="14" spans="1:14" ht="15.75" x14ac:dyDescent="0.25">
      <c r="A14" s="64" t="s">
        <v>40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6"/>
    </row>
    <row r="15" spans="1:14" ht="15.75" x14ac:dyDescent="0.25">
      <c r="A15" s="13" t="s">
        <v>41</v>
      </c>
      <c r="B15" s="14" t="s">
        <v>42</v>
      </c>
      <c r="C15" s="10" t="s">
        <v>36</v>
      </c>
      <c r="D15" s="12">
        <v>2</v>
      </c>
      <c r="E15" s="12">
        <v>0</v>
      </c>
      <c r="F15" s="12">
        <v>1</v>
      </c>
      <c r="G15" s="12">
        <v>3</v>
      </c>
      <c r="H15" s="12">
        <v>3</v>
      </c>
      <c r="I15" s="12">
        <v>20</v>
      </c>
      <c r="J15" s="12">
        <v>20</v>
      </c>
      <c r="K15" s="12">
        <v>60</v>
      </c>
      <c r="L15" s="12"/>
      <c r="M15" s="12"/>
      <c r="N15" s="12">
        <v>100</v>
      </c>
    </row>
    <row r="16" spans="1:14" ht="15.75" x14ac:dyDescent="0.25">
      <c r="A16" s="13"/>
      <c r="B16" s="14"/>
      <c r="C16" s="15" t="s">
        <v>5</v>
      </c>
      <c r="D16" s="11"/>
      <c r="E16" s="11"/>
      <c r="F16" s="11"/>
      <c r="G16" s="11"/>
      <c r="H16" s="6">
        <v>3</v>
      </c>
      <c r="I16" s="12"/>
      <c r="J16" s="12"/>
      <c r="K16" s="11"/>
      <c r="L16" s="12"/>
      <c r="M16" s="12"/>
      <c r="N16" s="6">
        <v>100</v>
      </c>
    </row>
    <row r="17" spans="1:14" ht="15.75" x14ac:dyDescent="0.25">
      <c r="A17" s="61" t="s">
        <v>43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3"/>
    </row>
    <row r="18" spans="1:14" ht="15.75" x14ac:dyDescent="0.25">
      <c r="A18" s="13" t="s">
        <v>44</v>
      </c>
      <c r="B18" s="14" t="s">
        <v>45</v>
      </c>
      <c r="C18" s="15" t="s">
        <v>23</v>
      </c>
      <c r="D18" s="12">
        <v>1</v>
      </c>
      <c r="E18" s="12">
        <v>0</v>
      </c>
      <c r="F18" s="12">
        <v>2</v>
      </c>
      <c r="G18" s="12">
        <v>3</v>
      </c>
      <c r="H18" s="12">
        <v>3</v>
      </c>
      <c r="I18" s="12">
        <v>20</v>
      </c>
      <c r="J18" s="12">
        <v>20</v>
      </c>
      <c r="K18" s="12">
        <v>60</v>
      </c>
      <c r="L18" s="12"/>
      <c r="M18" s="12"/>
      <c r="N18" s="12">
        <v>100</v>
      </c>
    </row>
    <row r="19" spans="1:14" ht="15.75" x14ac:dyDescent="0.25">
      <c r="A19" s="13" t="s">
        <v>46</v>
      </c>
      <c r="B19" s="14" t="s">
        <v>47</v>
      </c>
      <c r="C19" s="15" t="s">
        <v>23</v>
      </c>
      <c r="D19" s="12">
        <v>2</v>
      </c>
      <c r="E19" s="12">
        <v>1</v>
      </c>
      <c r="F19" s="12">
        <v>0</v>
      </c>
      <c r="G19" s="12">
        <v>3</v>
      </c>
      <c r="H19" s="12">
        <v>3</v>
      </c>
      <c r="I19" s="12">
        <v>20</v>
      </c>
      <c r="J19" s="12">
        <v>20</v>
      </c>
      <c r="K19" s="12">
        <v>60</v>
      </c>
      <c r="L19" s="12"/>
      <c r="M19" s="12"/>
      <c r="N19" s="12">
        <v>100</v>
      </c>
    </row>
    <row r="20" spans="1:14" ht="15.75" x14ac:dyDescent="0.25">
      <c r="A20" s="13" t="s">
        <v>48</v>
      </c>
      <c r="B20" s="14" t="s">
        <v>49</v>
      </c>
      <c r="C20" s="15" t="s">
        <v>23</v>
      </c>
      <c r="D20" s="12">
        <v>2</v>
      </c>
      <c r="E20" s="12">
        <v>0</v>
      </c>
      <c r="F20" s="12">
        <v>1</v>
      </c>
      <c r="G20" s="12">
        <v>3</v>
      </c>
      <c r="H20" s="12">
        <v>3</v>
      </c>
      <c r="I20" s="12">
        <v>20</v>
      </c>
      <c r="J20" s="12">
        <v>20</v>
      </c>
      <c r="K20" s="12">
        <v>60</v>
      </c>
      <c r="L20" s="12"/>
      <c r="M20" s="12"/>
      <c r="N20" s="12">
        <v>100</v>
      </c>
    </row>
    <row r="21" spans="1:14" ht="15.75" x14ac:dyDescent="0.25">
      <c r="A21" s="13" t="s">
        <v>50</v>
      </c>
      <c r="B21" s="14" t="s">
        <v>51</v>
      </c>
      <c r="C21" s="15" t="s">
        <v>23</v>
      </c>
      <c r="D21" s="12">
        <v>2</v>
      </c>
      <c r="E21" s="12">
        <v>1</v>
      </c>
      <c r="F21" s="12">
        <v>0</v>
      </c>
      <c r="G21" s="12">
        <v>3</v>
      </c>
      <c r="H21" s="12">
        <v>3</v>
      </c>
      <c r="I21" s="12">
        <v>20</v>
      </c>
      <c r="J21" s="12">
        <v>20</v>
      </c>
      <c r="K21" s="12">
        <v>60</v>
      </c>
      <c r="L21" s="12"/>
      <c r="M21" s="12"/>
      <c r="N21" s="12">
        <v>100</v>
      </c>
    </row>
    <row r="22" spans="1:14" ht="15.75" x14ac:dyDescent="0.25">
      <c r="A22" s="13" t="s">
        <v>52</v>
      </c>
      <c r="B22" s="14" t="s">
        <v>53</v>
      </c>
      <c r="C22" s="15" t="s">
        <v>23</v>
      </c>
      <c r="D22" s="12">
        <v>2</v>
      </c>
      <c r="E22" s="12">
        <v>1</v>
      </c>
      <c r="F22" s="12">
        <v>0</v>
      </c>
      <c r="G22" s="12">
        <v>3</v>
      </c>
      <c r="H22" s="12">
        <v>3</v>
      </c>
      <c r="I22" s="12">
        <v>20</v>
      </c>
      <c r="J22" s="12">
        <v>20</v>
      </c>
      <c r="K22" s="12">
        <v>60</v>
      </c>
      <c r="L22" s="12"/>
      <c r="M22" s="12"/>
      <c r="N22" s="12">
        <v>100</v>
      </c>
    </row>
    <row r="23" spans="1:14" ht="15.75" x14ac:dyDescent="0.25">
      <c r="A23" s="13" t="s">
        <v>54</v>
      </c>
      <c r="B23" s="14" t="s">
        <v>55</v>
      </c>
      <c r="C23" s="15" t="s">
        <v>23</v>
      </c>
      <c r="D23" s="12">
        <v>2</v>
      </c>
      <c r="E23" s="12">
        <v>0</v>
      </c>
      <c r="F23" s="12">
        <v>1</v>
      </c>
      <c r="G23" s="12">
        <v>3</v>
      </c>
      <c r="H23" s="12">
        <v>3</v>
      </c>
      <c r="I23" s="12">
        <v>20</v>
      </c>
      <c r="J23" s="12">
        <v>20</v>
      </c>
      <c r="K23" s="12">
        <v>60</v>
      </c>
      <c r="L23" s="12"/>
      <c r="M23" s="12"/>
      <c r="N23" s="12">
        <v>100</v>
      </c>
    </row>
    <row r="24" spans="1:14" ht="15.75" x14ac:dyDescent="0.25">
      <c r="A24" s="13" t="s">
        <v>56</v>
      </c>
      <c r="B24" s="14" t="s">
        <v>57</v>
      </c>
      <c r="C24" s="15" t="s">
        <v>23</v>
      </c>
      <c r="D24" s="12">
        <v>1</v>
      </c>
      <c r="E24" s="12">
        <v>0</v>
      </c>
      <c r="F24" s="12">
        <v>2</v>
      </c>
      <c r="G24" s="12">
        <v>3</v>
      </c>
      <c r="H24" s="12">
        <v>3</v>
      </c>
      <c r="I24" s="12">
        <v>20</v>
      </c>
      <c r="J24" s="12">
        <v>20</v>
      </c>
      <c r="K24" s="12">
        <v>60</v>
      </c>
      <c r="L24" s="12"/>
      <c r="M24" s="12"/>
      <c r="N24" s="12">
        <v>100</v>
      </c>
    </row>
    <row r="25" spans="1:14" ht="15.75" x14ac:dyDescent="0.25">
      <c r="A25" s="13" t="s">
        <v>58</v>
      </c>
      <c r="B25" s="14" t="s">
        <v>59</v>
      </c>
      <c r="C25" s="15" t="s">
        <v>23</v>
      </c>
      <c r="D25" s="12">
        <v>1</v>
      </c>
      <c r="E25" s="12">
        <v>0</v>
      </c>
      <c r="F25" s="12">
        <v>2</v>
      </c>
      <c r="G25" s="12">
        <v>3</v>
      </c>
      <c r="H25" s="12">
        <v>3</v>
      </c>
      <c r="I25" s="12">
        <v>20</v>
      </c>
      <c r="J25" s="12">
        <v>20</v>
      </c>
      <c r="K25" s="12">
        <v>60</v>
      </c>
      <c r="L25" s="12"/>
      <c r="M25" s="12"/>
      <c r="N25" s="12">
        <v>100</v>
      </c>
    </row>
    <row r="26" spans="1:14" ht="15.75" x14ac:dyDescent="0.25">
      <c r="A26" s="13"/>
      <c r="B26" s="14"/>
      <c r="C26" s="15" t="s">
        <v>5</v>
      </c>
      <c r="D26" s="11"/>
      <c r="E26" s="11"/>
      <c r="F26" s="11"/>
      <c r="G26" s="11"/>
      <c r="H26" s="6">
        <v>12</v>
      </c>
      <c r="I26" s="12">
        <v>80</v>
      </c>
      <c r="J26" s="12">
        <v>80</v>
      </c>
      <c r="K26" s="6">
        <v>240</v>
      </c>
      <c r="L26" s="6"/>
      <c r="M26" s="6"/>
      <c r="N26" s="6">
        <v>400</v>
      </c>
    </row>
    <row r="27" spans="1:14" ht="15.75" x14ac:dyDescent="0.25">
      <c r="A27" s="64" t="s">
        <v>60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6"/>
    </row>
    <row r="28" spans="1:14" ht="15.75" x14ac:dyDescent="0.25">
      <c r="A28" s="13" t="s">
        <v>61</v>
      </c>
      <c r="B28" s="14" t="s">
        <v>62</v>
      </c>
      <c r="C28" s="18" t="s">
        <v>23</v>
      </c>
      <c r="D28" s="8">
        <v>2</v>
      </c>
      <c r="E28" s="8">
        <v>1</v>
      </c>
      <c r="F28" s="8">
        <v>0</v>
      </c>
      <c r="G28" s="9">
        <v>3</v>
      </c>
      <c r="H28" s="9">
        <v>3</v>
      </c>
      <c r="I28" s="9">
        <v>20</v>
      </c>
      <c r="J28" s="9">
        <v>20</v>
      </c>
      <c r="K28" s="9">
        <v>60</v>
      </c>
      <c r="L28" s="9"/>
      <c r="M28" s="9"/>
      <c r="N28" s="9">
        <v>100</v>
      </c>
    </row>
    <row r="29" spans="1:14" ht="15.75" x14ac:dyDescent="0.25">
      <c r="A29" s="13"/>
      <c r="B29" s="14"/>
      <c r="C29" s="18" t="s">
        <v>5</v>
      </c>
      <c r="D29" s="8"/>
      <c r="E29" s="8"/>
      <c r="F29" s="8"/>
      <c r="G29" s="8"/>
      <c r="H29" s="21">
        <v>3</v>
      </c>
      <c r="I29" s="9"/>
      <c r="J29" s="9"/>
      <c r="K29" s="8"/>
      <c r="L29" s="21"/>
      <c r="M29" s="21"/>
      <c r="N29" s="21">
        <v>100</v>
      </c>
    </row>
    <row r="30" spans="1:14" ht="15.75" x14ac:dyDescent="0.25">
      <c r="A30" s="61" t="s">
        <v>63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3"/>
    </row>
    <row r="31" spans="1:14" ht="15.75" x14ac:dyDescent="0.25">
      <c r="A31" s="13" t="s">
        <v>64</v>
      </c>
      <c r="B31" s="14" t="s">
        <v>65</v>
      </c>
      <c r="C31" s="18" t="s">
        <v>23</v>
      </c>
      <c r="D31" s="13">
        <v>2</v>
      </c>
      <c r="E31" s="13">
        <v>1</v>
      </c>
      <c r="F31" s="13">
        <v>0</v>
      </c>
      <c r="G31" s="13">
        <f>SUM(D31:F31)</f>
        <v>3</v>
      </c>
      <c r="H31" s="20">
        <v>3</v>
      </c>
      <c r="I31" s="20">
        <v>20</v>
      </c>
      <c r="J31" s="20">
        <v>20</v>
      </c>
      <c r="K31" s="20">
        <v>60</v>
      </c>
      <c r="L31" s="20"/>
      <c r="M31" s="20"/>
      <c r="N31" s="20">
        <v>100</v>
      </c>
    </row>
    <row r="32" spans="1:14" ht="15.75" x14ac:dyDescent="0.25">
      <c r="A32" s="13" t="s">
        <v>66</v>
      </c>
      <c r="B32" s="14" t="s">
        <v>67</v>
      </c>
      <c r="C32" s="18" t="s">
        <v>23</v>
      </c>
      <c r="D32" s="13">
        <v>2</v>
      </c>
      <c r="E32" s="13">
        <v>1</v>
      </c>
      <c r="F32" s="13">
        <v>0</v>
      </c>
      <c r="G32" s="13">
        <f t="shared" ref="G32:G38" si="0">SUM(D32:F32)</f>
        <v>3</v>
      </c>
      <c r="H32" s="20">
        <v>3</v>
      </c>
      <c r="I32" s="20">
        <v>20</v>
      </c>
      <c r="J32" s="20">
        <v>20</v>
      </c>
      <c r="K32" s="20">
        <v>60</v>
      </c>
      <c r="L32" s="20"/>
      <c r="M32" s="20"/>
      <c r="N32" s="20">
        <v>100</v>
      </c>
    </row>
    <row r="33" spans="1:14" ht="15.75" x14ac:dyDescent="0.25">
      <c r="A33" s="13" t="s">
        <v>68</v>
      </c>
      <c r="B33" s="14" t="s">
        <v>69</v>
      </c>
      <c r="C33" s="18" t="s">
        <v>23</v>
      </c>
      <c r="D33" s="13">
        <v>2</v>
      </c>
      <c r="E33" s="13">
        <v>1</v>
      </c>
      <c r="F33" s="13">
        <v>0</v>
      </c>
      <c r="G33" s="13">
        <f t="shared" si="0"/>
        <v>3</v>
      </c>
      <c r="H33" s="20">
        <v>3</v>
      </c>
      <c r="I33" s="20">
        <v>20</v>
      </c>
      <c r="J33" s="20">
        <v>20</v>
      </c>
      <c r="K33" s="20">
        <v>60</v>
      </c>
      <c r="L33" s="20"/>
      <c r="M33" s="20"/>
      <c r="N33" s="20">
        <v>100</v>
      </c>
    </row>
    <row r="34" spans="1:14" ht="15.75" x14ac:dyDescent="0.25">
      <c r="A34" s="13" t="s">
        <v>70</v>
      </c>
      <c r="B34" s="14" t="s">
        <v>71</v>
      </c>
      <c r="C34" s="18" t="s">
        <v>23</v>
      </c>
      <c r="D34" s="13">
        <v>2</v>
      </c>
      <c r="E34" s="13">
        <v>1</v>
      </c>
      <c r="F34" s="13">
        <v>0</v>
      </c>
      <c r="G34" s="13">
        <f t="shared" si="0"/>
        <v>3</v>
      </c>
      <c r="H34" s="20">
        <v>3</v>
      </c>
      <c r="I34" s="20">
        <v>20</v>
      </c>
      <c r="J34" s="20">
        <v>20</v>
      </c>
      <c r="K34" s="20">
        <v>60</v>
      </c>
      <c r="L34" s="20"/>
      <c r="M34" s="20"/>
      <c r="N34" s="20">
        <v>100</v>
      </c>
    </row>
    <row r="35" spans="1:14" ht="15.75" x14ac:dyDescent="0.25">
      <c r="A35" s="13" t="s">
        <v>72</v>
      </c>
      <c r="B35" s="14" t="s">
        <v>73</v>
      </c>
      <c r="C35" s="18" t="s">
        <v>23</v>
      </c>
      <c r="D35" s="13">
        <v>2</v>
      </c>
      <c r="E35" s="13">
        <v>1</v>
      </c>
      <c r="F35" s="13">
        <v>0</v>
      </c>
      <c r="G35" s="13">
        <f t="shared" si="0"/>
        <v>3</v>
      </c>
      <c r="H35" s="20">
        <v>3</v>
      </c>
      <c r="I35" s="20">
        <v>20</v>
      </c>
      <c r="J35" s="20">
        <v>20</v>
      </c>
      <c r="K35" s="20">
        <v>60</v>
      </c>
      <c r="L35" s="20"/>
      <c r="M35" s="20"/>
      <c r="N35" s="20">
        <v>100</v>
      </c>
    </row>
    <row r="36" spans="1:14" ht="15.75" x14ac:dyDescent="0.25">
      <c r="A36" s="13" t="s">
        <v>74</v>
      </c>
      <c r="B36" s="14" t="s">
        <v>75</v>
      </c>
      <c r="C36" s="18" t="s">
        <v>23</v>
      </c>
      <c r="D36" s="13">
        <v>2</v>
      </c>
      <c r="E36" s="13">
        <v>1</v>
      </c>
      <c r="F36" s="13">
        <v>0</v>
      </c>
      <c r="G36" s="13">
        <f t="shared" si="0"/>
        <v>3</v>
      </c>
      <c r="H36" s="20">
        <v>3</v>
      </c>
      <c r="I36" s="20">
        <v>20</v>
      </c>
      <c r="J36" s="20">
        <v>20</v>
      </c>
      <c r="K36" s="20">
        <v>60</v>
      </c>
      <c r="L36" s="20"/>
      <c r="M36" s="20"/>
      <c r="N36" s="20">
        <v>100</v>
      </c>
    </row>
    <row r="37" spans="1:14" ht="15.75" x14ac:dyDescent="0.25">
      <c r="A37" s="13" t="s">
        <v>76</v>
      </c>
      <c r="B37" s="14" t="s">
        <v>77</v>
      </c>
      <c r="C37" s="18" t="s">
        <v>23</v>
      </c>
      <c r="D37" s="13">
        <v>2</v>
      </c>
      <c r="E37" s="13">
        <v>1</v>
      </c>
      <c r="F37" s="13">
        <v>0</v>
      </c>
      <c r="G37" s="13">
        <f t="shared" si="0"/>
        <v>3</v>
      </c>
      <c r="H37" s="20">
        <v>3</v>
      </c>
      <c r="I37" s="20">
        <v>20</v>
      </c>
      <c r="J37" s="20">
        <v>20</v>
      </c>
      <c r="K37" s="20">
        <v>60</v>
      </c>
      <c r="L37" s="20"/>
      <c r="M37" s="20"/>
      <c r="N37" s="20">
        <v>100</v>
      </c>
    </row>
    <row r="38" spans="1:14" ht="15.75" x14ac:dyDescent="0.25">
      <c r="A38" s="13" t="s">
        <v>78</v>
      </c>
      <c r="B38" s="14" t="s">
        <v>79</v>
      </c>
      <c r="C38" s="18" t="s">
        <v>23</v>
      </c>
      <c r="D38" s="13">
        <v>2</v>
      </c>
      <c r="E38" s="13">
        <v>1</v>
      </c>
      <c r="F38" s="13">
        <v>0</v>
      </c>
      <c r="G38" s="13">
        <f t="shared" si="0"/>
        <v>3</v>
      </c>
      <c r="H38" s="20">
        <v>3</v>
      </c>
      <c r="I38" s="20">
        <v>20</v>
      </c>
      <c r="J38" s="20">
        <v>20</v>
      </c>
      <c r="K38" s="20">
        <v>60</v>
      </c>
      <c r="L38" s="20"/>
      <c r="M38" s="20"/>
      <c r="N38" s="20">
        <v>100</v>
      </c>
    </row>
    <row r="39" spans="1:14" ht="15.75" x14ac:dyDescent="0.25">
      <c r="A39" s="7"/>
      <c r="B39" s="7"/>
      <c r="C39" s="13" t="s">
        <v>5</v>
      </c>
      <c r="D39" s="8"/>
      <c r="E39" s="8"/>
      <c r="F39" s="8"/>
      <c r="G39" s="8"/>
      <c r="H39" s="21">
        <v>12</v>
      </c>
      <c r="I39" s="9">
        <v>80</v>
      </c>
      <c r="J39" s="9">
        <v>80</v>
      </c>
      <c r="K39" s="21">
        <v>240</v>
      </c>
      <c r="L39" s="21"/>
      <c r="M39" s="21"/>
      <c r="N39" s="21">
        <v>400</v>
      </c>
    </row>
    <row r="40" spans="1:14" x14ac:dyDescent="0.25">
      <c r="A40" s="91" t="s">
        <v>80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3"/>
    </row>
    <row r="41" spans="1:14" ht="15.75" x14ac:dyDescent="0.25">
      <c r="A41" s="13" t="s">
        <v>81</v>
      </c>
      <c r="B41" s="14" t="s">
        <v>82</v>
      </c>
      <c r="C41" s="18" t="s">
        <v>36</v>
      </c>
      <c r="D41" s="8">
        <v>1</v>
      </c>
      <c r="E41" s="8">
        <v>1</v>
      </c>
      <c r="F41" s="8">
        <v>2</v>
      </c>
      <c r="G41" s="9">
        <v>4</v>
      </c>
      <c r="H41" s="9">
        <v>3</v>
      </c>
      <c r="I41" s="9">
        <v>20</v>
      </c>
      <c r="J41" s="9">
        <v>20</v>
      </c>
      <c r="K41" s="9">
        <v>60</v>
      </c>
      <c r="L41" s="9"/>
      <c r="M41" s="9"/>
      <c r="N41" s="9">
        <v>100</v>
      </c>
    </row>
    <row r="42" spans="1:14" ht="15.75" x14ac:dyDescent="0.25">
      <c r="A42" s="13"/>
      <c r="B42" s="14"/>
      <c r="C42" s="18" t="s">
        <v>5</v>
      </c>
      <c r="D42" s="8"/>
      <c r="E42" s="8"/>
      <c r="F42" s="8"/>
      <c r="G42" s="8"/>
      <c r="H42" s="21">
        <v>3</v>
      </c>
      <c r="I42" s="9"/>
      <c r="J42" s="9"/>
      <c r="K42" s="9"/>
      <c r="L42" s="9"/>
      <c r="M42" s="9"/>
      <c r="N42" s="9">
        <v>100</v>
      </c>
    </row>
    <row r="43" spans="1:14" ht="15.75" x14ac:dyDescent="0.25">
      <c r="A43" s="61" t="s">
        <v>83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3"/>
    </row>
    <row r="44" spans="1:14" ht="15.75" x14ac:dyDescent="0.25">
      <c r="A44" s="13" t="s">
        <v>84</v>
      </c>
      <c r="B44" s="14" t="s">
        <v>85</v>
      </c>
      <c r="C44" s="13" t="s">
        <v>23</v>
      </c>
      <c r="D44" s="13">
        <v>1</v>
      </c>
      <c r="E44" s="13">
        <v>1</v>
      </c>
      <c r="F44" s="13">
        <v>2</v>
      </c>
      <c r="G44" s="13">
        <v>3</v>
      </c>
      <c r="H44" s="20">
        <v>3</v>
      </c>
      <c r="I44" s="20">
        <v>20</v>
      </c>
      <c r="J44" s="20">
        <v>20</v>
      </c>
      <c r="K44" s="20">
        <v>60</v>
      </c>
      <c r="L44" s="20"/>
      <c r="M44" s="20"/>
      <c r="N44" s="20">
        <v>100</v>
      </c>
    </row>
    <row r="45" spans="1:14" ht="15.75" x14ac:dyDescent="0.25">
      <c r="A45" s="13" t="s">
        <v>86</v>
      </c>
      <c r="B45" s="14" t="s">
        <v>87</v>
      </c>
      <c r="C45" s="13" t="s">
        <v>23</v>
      </c>
      <c r="D45" s="13">
        <v>1</v>
      </c>
      <c r="E45" s="13">
        <v>1</v>
      </c>
      <c r="F45" s="13">
        <v>2</v>
      </c>
      <c r="G45" s="13">
        <v>3</v>
      </c>
      <c r="H45" s="20">
        <v>3</v>
      </c>
      <c r="I45" s="20">
        <v>20</v>
      </c>
      <c r="J45" s="20">
        <v>20</v>
      </c>
      <c r="K45" s="20">
        <v>60</v>
      </c>
      <c r="L45" s="20"/>
      <c r="M45" s="20"/>
      <c r="N45" s="20">
        <v>100</v>
      </c>
    </row>
    <row r="46" spans="1:14" ht="15.75" x14ac:dyDescent="0.25">
      <c r="A46" s="13" t="s">
        <v>88</v>
      </c>
      <c r="B46" s="14" t="s">
        <v>89</v>
      </c>
      <c r="C46" s="13" t="s">
        <v>23</v>
      </c>
      <c r="D46" s="13">
        <v>1</v>
      </c>
      <c r="E46" s="13">
        <v>1</v>
      </c>
      <c r="F46" s="13">
        <v>2</v>
      </c>
      <c r="G46" s="13">
        <v>3</v>
      </c>
      <c r="H46" s="20">
        <v>3</v>
      </c>
      <c r="I46" s="20">
        <v>20</v>
      </c>
      <c r="J46" s="20">
        <v>20</v>
      </c>
      <c r="K46" s="20">
        <v>60</v>
      </c>
      <c r="L46" s="20"/>
      <c r="M46" s="20"/>
      <c r="N46" s="20">
        <v>100</v>
      </c>
    </row>
    <row r="47" spans="1:14" ht="15.75" x14ac:dyDescent="0.25">
      <c r="A47" s="13" t="s">
        <v>90</v>
      </c>
      <c r="B47" s="14" t="s">
        <v>91</v>
      </c>
      <c r="C47" s="13" t="s">
        <v>23</v>
      </c>
      <c r="D47" s="13">
        <v>1</v>
      </c>
      <c r="E47" s="13">
        <v>1</v>
      </c>
      <c r="F47" s="13">
        <v>2</v>
      </c>
      <c r="G47" s="13">
        <v>3</v>
      </c>
      <c r="H47" s="20">
        <v>3</v>
      </c>
      <c r="I47" s="20">
        <v>20</v>
      </c>
      <c r="J47" s="20">
        <v>20</v>
      </c>
      <c r="K47" s="20">
        <v>60</v>
      </c>
      <c r="L47" s="20"/>
      <c r="M47" s="20"/>
      <c r="N47" s="20">
        <v>100</v>
      </c>
    </row>
    <row r="48" spans="1:14" ht="15.75" x14ac:dyDescent="0.25">
      <c r="A48" s="13" t="s">
        <v>92</v>
      </c>
      <c r="B48" s="14" t="s">
        <v>93</v>
      </c>
      <c r="C48" s="13" t="s">
        <v>23</v>
      </c>
      <c r="D48" s="13">
        <v>1</v>
      </c>
      <c r="E48" s="13">
        <v>1</v>
      </c>
      <c r="F48" s="13">
        <v>2</v>
      </c>
      <c r="G48" s="13">
        <v>3</v>
      </c>
      <c r="H48" s="20">
        <v>3</v>
      </c>
      <c r="I48" s="20">
        <v>20</v>
      </c>
      <c r="J48" s="20">
        <v>20</v>
      </c>
      <c r="K48" s="20">
        <v>60</v>
      </c>
      <c r="L48" s="20"/>
      <c r="M48" s="20"/>
      <c r="N48" s="20">
        <v>100</v>
      </c>
    </row>
    <row r="49" spans="1:14" ht="15.75" x14ac:dyDescent="0.25">
      <c r="A49" s="13" t="s">
        <v>94</v>
      </c>
      <c r="B49" s="14" t="s">
        <v>95</v>
      </c>
      <c r="C49" s="13" t="s">
        <v>23</v>
      </c>
      <c r="D49" s="13">
        <v>1</v>
      </c>
      <c r="E49" s="13">
        <v>1</v>
      </c>
      <c r="F49" s="13">
        <v>2</v>
      </c>
      <c r="G49" s="13">
        <v>3</v>
      </c>
      <c r="H49" s="20">
        <v>3</v>
      </c>
      <c r="I49" s="20">
        <v>20</v>
      </c>
      <c r="J49" s="20">
        <v>20</v>
      </c>
      <c r="K49" s="20">
        <v>60</v>
      </c>
      <c r="L49" s="20"/>
      <c r="M49" s="20"/>
      <c r="N49" s="20">
        <v>100</v>
      </c>
    </row>
    <row r="50" spans="1:14" ht="15.75" x14ac:dyDescent="0.25">
      <c r="A50" s="13" t="s">
        <v>96</v>
      </c>
      <c r="B50" s="14" t="s">
        <v>97</v>
      </c>
      <c r="C50" s="13" t="s">
        <v>23</v>
      </c>
      <c r="D50" s="13">
        <v>1</v>
      </c>
      <c r="E50" s="13">
        <v>1</v>
      </c>
      <c r="F50" s="13">
        <v>2</v>
      </c>
      <c r="G50" s="13">
        <v>3</v>
      </c>
      <c r="H50" s="20">
        <v>3</v>
      </c>
      <c r="I50" s="20">
        <v>20</v>
      </c>
      <c r="J50" s="20">
        <v>20</v>
      </c>
      <c r="K50" s="20">
        <v>60</v>
      </c>
      <c r="L50" s="20"/>
      <c r="M50" s="20"/>
      <c r="N50" s="20">
        <v>100</v>
      </c>
    </row>
    <row r="51" spans="1:14" ht="15.75" x14ac:dyDescent="0.25">
      <c r="A51" s="13" t="s">
        <v>98</v>
      </c>
      <c r="B51" s="14" t="s">
        <v>99</v>
      </c>
      <c r="C51" s="13" t="s">
        <v>23</v>
      </c>
      <c r="D51" s="13">
        <v>1</v>
      </c>
      <c r="E51" s="13">
        <v>1</v>
      </c>
      <c r="F51" s="13">
        <v>2</v>
      </c>
      <c r="G51" s="13">
        <v>3</v>
      </c>
      <c r="H51" s="20">
        <v>3</v>
      </c>
      <c r="I51" s="20">
        <v>20</v>
      </c>
      <c r="J51" s="20">
        <v>20</v>
      </c>
      <c r="K51" s="20">
        <v>60</v>
      </c>
      <c r="L51" s="20"/>
      <c r="M51" s="20"/>
      <c r="N51" s="20">
        <v>100</v>
      </c>
    </row>
    <row r="52" spans="1:14" ht="15.75" x14ac:dyDescent="0.25">
      <c r="A52" s="7"/>
      <c r="B52" s="7"/>
      <c r="C52" s="13" t="s">
        <v>5</v>
      </c>
      <c r="D52" s="8"/>
      <c r="E52" s="8"/>
      <c r="F52" s="8"/>
      <c r="G52" s="8"/>
      <c r="H52" s="21">
        <v>12</v>
      </c>
      <c r="I52" s="21">
        <v>80</v>
      </c>
      <c r="J52" s="21">
        <v>80</v>
      </c>
      <c r="K52" s="21">
        <v>240</v>
      </c>
      <c r="L52" s="21"/>
      <c r="M52" s="21"/>
      <c r="N52" s="21">
        <v>400</v>
      </c>
    </row>
    <row r="53" spans="1:14" x14ac:dyDescent="0.25">
      <c r="A53" s="91" t="s">
        <v>100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3"/>
    </row>
    <row r="54" spans="1:14" ht="15.75" x14ac:dyDescent="0.25">
      <c r="A54" s="13" t="s">
        <v>101</v>
      </c>
      <c r="B54" s="14" t="s">
        <v>102</v>
      </c>
      <c r="C54" s="18" t="s">
        <v>23</v>
      </c>
      <c r="D54" s="53">
        <v>2</v>
      </c>
      <c r="E54" s="53">
        <v>1</v>
      </c>
      <c r="F54" s="53">
        <v>1</v>
      </c>
      <c r="G54" s="9">
        <v>4</v>
      </c>
      <c r="H54" s="9">
        <v>3</v>
      </c>
      <c r="I54" s="9">
        <v>20</v>
      </c>
      <c r="J54" s="9">
        <v>20</v>
      </c>
      <c r="K54" s="9">
        <v>60</v>
      </c>
      <c r="L54" s="9"/>
      <c r="M54" s="9"/>
      <c r="N54" s="9">
        <v>100</v>
      </c>
    </row>
    <row r="55" spans="1:14" ht="15.75" x14ac:dyDescent="0.25">
      <c r="A55" s="13"/>
      <c r="B55" s="16"/>
      <c r="C55" s="13" t="s">
        <v>5</v>
      </c>
      <c r="D55" s="8"/>
      <c r="E55" s="8"/>
      <c r="F55" s="8"/>
      <c r="G55" s="8"/>
      <c r="H55" s="21">
        <v>3</v>
      </c>
      <c r="I55" s="9"/>
      <c r="J55" s="9"/>
      <c r="K55" s="9"/>
      <c r="L55" s="9"/>
      <c r="M55" s="9"/>
      <c r="N55" s="9">
        <v>100</v>
      </c>
    </row>
    <row r="56" spans="1:14" x14ac:dyDescent="0.25">
      <c r="A56" s="91" t="s">
        <v>103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3"/>
    </row>
    <row r="57" spans="1:14" ht="15.75" x14ac:dyDescent="0.25">
      <c r="A57" s="13" t="s">
        <v>104</v>
      </c>
      <c r="B57" s="14" t="s">
        <v>105</v>
      </c>
      <c r="C57" s="18" t="s">
        <v>23</v>
      </c>
      <c r="D57" s="53">
        <v>2</v>
      </c>
      <c r="E57" s="53">
        <v>1</v>
      </c>
      <c r="F57" s="53">
        <v>1</v>
      </c>
      <c r="G57" s="53">
        <v>4</v>
      </c>
      <c r="H57" s="9">
        <v>3</v>
      </c>
      <c r="I57" s="9">
        <v>20</v>
      </c>
      <c r="J57" s="9">
        <v>20</v>
      </c>
      <c r="K57" s="9">
        <v>60</v>
      </c>
      <c r="L57" s="9"/>
      <c r="M57" s="9"/>
      <c r="N57" s="9">
        <v>100</v>
      </c>
    </row>
    <row r="58" spans="1:14" ht="15.75" x14ac:dyDescent="0.25">
      <c r="A58" s="13" t="s">
        <v>106</v>
      </c>
      <c r="B58" s="14" t="s">
        <v>107</v>
      </c>
      <c r="C58" s="18" t="s">
        <v>23</v>
      </c>
      <c r="D58" s="53">
        <v>2</v>
      </c>
      <c r="E58" s="53">
        <v>1</v>
      </c>
      <c r="F58" s="53">
        <v>1</v>
      </c>
      <c r="G58" s="53">
        <v>4</v>
      </c>
      <c r="H58" s="9">
        <v>3</v>
      </c>
      <c r="I58" s="9">
        <v>20</v>
      </c>
      <c r="J58" s="9">
        <v>20</v>
      </c>
      <c r="K58" s="9">
        <v>60</v>
      </c>
      <c r="L58" s="9"/>
      <c r="M58" s="9"/>
      <c r="N58" s="9">
        <v>100</v>
      </c>
    </row>
    <row r="59" spans="1:14" ht="15.75" x14ac:dyDescent="0.25">
      <c r="A59" s="13" t="s">
        <v>108</v>
      </c>
      <c r="B59" s="14" t="s">
        <v>109</v>
      </c>
      <c r="C59" s="18" t="s">
        <v>23</v>
      </c>
      <c r="D59" s="53">
        <v>2</v>
      </c>
      <c r="E59" s="53">
        <v>1</v>
      </c>
      <c r="F59" s="53">
        <v>1</v>
      </c>
      <c r="G59" s="53">
        <v>4</v>
      </c>
      <c r="H59" s="9">
        <v>3</v>
      </c>
      <c r="I59" s="9">
        <v>20</v>
      </c>
      <c r="J59" s="9">
        <v>20</v>
      </c>
      <c r="K59" s="9">
        <v>60</v>
      </c>
      <c r="L59" s="9"/>
      <c r="M59" s="9"/>
      <c r="N59" s="9">
        <v>100</v>
      </c>
    </row>
    <row r="60" spans="1:14" ht="15.75" x14ac:dyDescent="0.25">
      <c r="A60" s="13" t="s">
        <v>110</v>
      </c>
      <c r="B60" s="14" t="s">
        <v>111</v>
      </c>
      <c r="C60" s="18" t="s">
        <v>23</v>
      </c>
      <c r="D60" s="53">
        <v>2</v>
      </c>
      <c r="E60" s="53">
        <v>1</v>
      </c>
      <c r="F60" s="53">
        <v>1</v>
      </c>
      <c r="G60" s="53">
        <v>4</v>
      </c>
      <c r="H60" s="9">
        <v>3</v>
      </c>
      <c r="I60" s="9">
        <v>20</v>
      </c>
      <c r="J60" s="9">
        <v>20</v>
      </c>
      <c r="K60" s="9">
        <v>60</v>
      </c>
      <c r="L60" s="9"/>
      <c r="M60" s="9"/>
      <c r="N60" s="9">
        <v>100</v>
      </c>
    </row>
    <row r="61" spans="1:14" ht="15.75" x14ac:dyDescent="0.25">
      <c r="A61" s="13" t="s">
        <v>112</v>
      </c>
      <c r="B61" s="14" t="s">
        <v>113</v>
      </c>
      <c r="C61" s="18" t="s">
        <v>23</v>
      </c>
      <c r="D61" s="53">
        <v>2</v>
      </c>
      <c r="E61" s="53">
        <v>1</v>
      </c>
      <c r="F61" s="53">
        <v>1</v>
      </c>
      <c r="G61" s="53">
        <v>4</v>
      </c>
      <c r="H61" s="9">
        <v>3</v>
      </c>
      <c r="I61" s="9">
        <v>20</v>
      </c>
      <c r="J61" s="9">
        <v>20</v>
      </c>
      <c r="K61" s="9">
        <v>60</v>
      </c>
      <c r="L61" s="9"/>
      <c r="M61" s="9"/>
      <c r="N61" s="9">
        <v>100</v>
      </c>
    </row>
    <row r="62" spans="1:14" ht="15.75" x14ac:dyDescent="0.25">
      <c r="A62" s="13" t="s">
        <v>114</v>
      </c>
      <c r="B62" s="14" t="s">
        <v>115</v>
      </c>
      <c r="C62" s="18" t="s">
        <v>23</v>
      </c>
      <c r="D62" s="53">
        <v>2</v>
      </c>
      <c r="E62" s="53">
        <v>1</v>
      </c>
      <c r="F62" s="53">
        <v>0</v>
      </c>
      <c r="G62" s="53">
        <v>3</v>
      </c>
      <c r="H62" s="9">
        <v>3</v>
      </c>
      <c r="I62" s="9">
        <v>20</v>
      </c>
      <c r="J62" s="9">
        <v>20</v>
      </c>
      <c r="K62" s="9">
        <v>60</v>
      </c>
      <c r="L62" s="9"/>
      <c r="M62" s="9"/>
      <c r="N62" s="9">
        <v>100</v>
      </c>
    </row>
    <row r="63" spans="1:14" ht="15.75" x14ac:dyDescent="0.25">
      <c r="A63" s="13" t="s">
        <v>116</v>
      </c>
      <c r="B63" s="14" t="s">
        <v>117</v>
      </c>
      <c r="C63" s="18" t="s">
        <v>23</v>
      </c>
      <c r="D63" s="53">
        <v>2</v>
      </c>
      <c r="E63" s="53">
        <v>1</v>
      </c>
      <c r="F63" s="53">
        <v>1</v>
      </c>
      <c r="G63" s="53">
        <v>4</v>
      </c>
      <c r="H63" s="9">
        <v>3</v>
      </c>
      <c r="I63" s="9">
        <v>20</v>
      </c>
      <c r="J63" s="9">
        <v>20</v>
      </c>
      <c r="K63" s="9">
        <v>60</v>
      </c>
      <c r="L63" s="9"/>
      <c r="M63" s="9"/>
      <c r="N63" s="9">
        <v>100</v>
      </c>
    </row>
    <row r="64" spans="1:14" ht="15.75" x14ac:dyDescent="0.25">
      <c r="A64" s="13" t="s">
        <v>118</v>
      </c>
      <c r="B64" s="14" t="s">
        <v>119</v>
      </c>
      <c r="C64" s="18" t="s">
        <v>23</v>
      </c>
      <c r="D64" s="53">
        <v>2</v>
      </c>
      <c r="E64" s="53">
        <v>1</v>
      </c>
      <c r="F64" s="53">
        <v>1</v>
      </c>
      <c r="G64" s="53">
        <v>4</v>
      </c>
      <c r="H64" s="9">
        <v>3</v>
      </c>
      <c r="I64" s="9">
        <v>20</v>
      </c>
      <c r="J64" s="9">
        <v>20</v>
      </c>
      <c r="K64" s="9">
        <v>60</v>
      </c>
      <c r="L64" s="9"/>
      <c r="M64" s="9"/>
      <c r="N64" s="9">
        <v>100</v>
      </c>
    </row>
    <row r="65" spans="1:14" ht="15.75" x14ac:dyDescent="0.25">
      <c r="A65" s="13"/>
      <c r="B65" s="16"/>
      <c r="C65" s="13" t="s">
        <v>5</v>
      </c>
      <c r="D65" s="8"/>
      <c r="E65" s="8"/>
      <c r="F65" s="8"/>
      <c r="G65" s="8"/>
      <c r="H65" s="21">
        <v>12</v>
      </c>
      <c r="I65" s="9">
        <v>80</v>
      </c>
      <c r="J65" s="9">
        <v>80</v>
      </c>
      <c r="K65" s="21">
        <v>240</v>
      </c>
      <c r="L65" s="21"/>
      <c r="M65" s="21"/>
      <c r="N65" s="21">
        <v>400</v>
      </c>
    </row>
    <row r="66" spans="1:14" x14ac:dyDescent="0.25">
      <c r="A66" s="88" t="s">
        <v>120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90"/>
    </row>
    <row r="67" spans="1:14" ht="15.75" x14ac:dyDescent="0.25">
      <c r="A67" s="13" t="s">
        <v>121</v>
      </c>
      <c r="B67" s="14" t="s">
        <v>122</v>
      </c>
      <c r="C67" s="18" t="s">
        <v>36</v>
      </c>
      <c r="D67" s="8">
        <v>0</v>
      </c>
      <c r="E67" s="8">
        <v>1</v>
      </c>
      <c r="F67" s="8">
        <v>2</v>
      </c>
      <c r="G67" s="9">
        <v>3</v>
      </c>
      <c r="H67" s="23">
        <v>3</v>
      </c>
      <c r="I67" s="9">
        <v>20</v>
      </c>
      <c r="J67" s="9">
        <v>20</v>
      </c>
      <c r="K67" s="9">
        <v>60</v>
      </c>
      <c r="L67" s="9"/>
      <c r="M67" s="9"/>
      <c r="N67" s="9">
        <v>100</v>
      </c>
    </row>
    <row r="68" spans="1:14" ht="15.75" x14ac:dyDescent="0.25">
      <c r="A68" s="8"/>
      <c r="B68" s="8"/>
      <c r="C68" s="13" t="s">
        <v>5</v>
      </c>
      <c r="D68" s="8"/>
      <c r="E68" s="8"/>
      <c r="F68" s="8"/>
      <c r="G68" s="8"/>
      <c r="H68" s="22">
        <v>3</v>
      </c>
      <c r="I68" s="8"/>
      <c r="J68" s="8"/>
      <c r="K68" s="8"/>
      <c r="L68" s="9"/>
      <c r="M68" s="9"/>
      <c r="N68" s="9">
        <v>100</v>
      </c>
    </row>
    <row r="69" spans="1:14" x14ac:dyDescent="0.25">
      <c r="A69" s="94" t="s">
        <v>123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6"/>
    </row>
    <row r="70" spans="1:14" ht="15.75" x14ac:dyDescent="0.25">
      <c r="A70" s="13" t="s">
        <v>124</v>
      </c>
      <c r="B70" s="14" t="s">
        <v>125</v>
      </c>
      <c r="C70" s="18" t="s">
        <v>23</v>
      </c>
      <c r="D70" s="9">
        <v>0</v>
      </c>
      <c r="E70" s="9">
        <v>1</v>
      </c>
      <c r="F70" s="9">
        <v>2</v>
      </c>
      <c r="G70" s="9">
        <v>3</v>
      </c>
      <c r="H70" s="23">
        <v>3</v>
      </c>
      <c r="I70" s="23">
        <v>20</v>
      </c>
      <c r="J70" s="23">
        <v>20</v>
      </c>
      <c r="K70" s="23">
        <v>60</v>
      </c>
      <c r="L70" s="23"/>
      <c r="M70" s="23"/>
      <c r="N70" s="9">
        <v>100</v>
      </c>
    </row>
    <row r="71" spans="1:14" ht="15.75" x14ac:dyDescent="0.25">
      <c r="A71" s="13" t="s">
        <v>126</v>
      </c>
      <c r="B71" s="14" t="s">
        <v>127</v>
      </c>
      <c r="C71" s="18" t="s">
        <v>23</v>
      </c>
      <c r="D71" s="9">
        <v>0</v>
      </c>
      <c r="E71" s="9">
        <v>1</v>
      </c>
      <c r="F71" s="9">
        <v>2</v>
      </c>
      <c r="G71" s="9">
        <v>3</v>
      </c>
      <c r="H71" s="23">
        <v>3</v>
      </c>
      <c r="I71" s="23">
        <v>20</v>
      </c>
      <c r="J71" s="23">
        <v>20</v>
      </c>
      <c r="K71" s="23">
        <v>60</v>
      </c>
      <c r="L71" s="23"/>
      <c r="N71" s="9">
        <v>100</v>
      </c>
    </row>
    <row r="72" spans="1:14" ht="15.75" x14ac:dyDescent="0.25">
      <c r="A72" s="13" t="s">
        <v>128</v>
      </c>
      <c r="B72" s="14" t="s">
        <v>129</v>
      </c>
      <c r="C72" s="18" t="s">
        <v>23</v>
      </c>
      <c r="D72" s="9">
        <v>0</v>
      </c>
      <c r="E72" s="9">
        <v>1</v>
      </c>
      <c r="F72" s="9">
        <v>2</v>
      </c>
      <c r="G72" s="9">
        <v>3</v>
      </c>
      <c r="H72" s="23">
        <v>3</v>
      </c>
      <c r="I72" s="23">
        <v>20</v>
      </c>
      <c r="J72" s="23">
        <v>20</v>
      </c>
      <c r="K72" s="23">
        <v>60</v>
      </c>
      <c r="L72" s="23"/>
      <c r="M72" s="23"/>
      <c r="N72" s="9">
        <v>100</v>
      </c>
    </row>
    <row r="73" spans="1:14" ht="15.75" x14ac:dyDescent="0.25">
      <c r="A73" s="13" t="s">
        <v>130</v>
      </c>
      <c r="B73" s="14" t="s">
        <v>131</v>
      </c>
      <c r="C73" s="18" t="s">
        <v>23</v>
      </c>
      <c r="D73" s="9">
        <v>0</v>
      </c>
      <c r="E73" s="9">
        <v>1</v>
      </c>
      <c r="F73" s="9">
        <v>2</v>
      </c>
      <c r="G73" s="9">
        <v>3</v>
      </c>
      <c r="H73" s="23">
        <v>3</v>
      </c>
      <c r="I73" s="23">
        <v>20</v>
      </c>
      <c r="J73" s="23">
        <v>20</v>
      </c>
      <c r="K73" s="23">
        <v>60</v>
      </c>
      <c r="L73" s="23"/>
      <c r="M73" s="23"/>
      <c r="N73" s="9">
        <v>100</v>
      </c>
    </row>
    <row r="74" spans="1:14" ht="15.75" x14ac:dyDescent="0.25">
      <c r="A74" s="13" t="s">
        <v>132</v>
      </c>
      <c r="B74" s="14" t="s">
        <v>133</v>
      </c>
      <c r="C74" s="18" t="s">
        <v>23</v>
      </c>
      <c r="D74" s="9">
        <v>0</v>
      </c>
      <c r="E74" s="9">
        <v>1</v>
      </c>
      <c r="F74" s="9">
        <v>2</v>
      </c>
      <c r="G74" s="9">
        <v>3</v>
      </c>
      <c r="H74" s="23">
        <v>3</v>
      </c>
      <c r="I74" s="23">
        <v>20</v>
      </c>
      <c r="J74" s="23">
        <v>20</v>
      </c>
      <c r="K74" s="23">
        <v>60</v>
      </c>
      <c r="L74" s="23"/>
      <c r="M74" s="23"/>
      <c r="N74" s="9">
        <v>100</v>
      </c>
    </row>
    <row r="75" spans="1:14" ht="15.75" x14ac:dyDescent="0.25">
      <c r="A75" s="13" t="s">
        <v>134</v>
      </c>
      <c r="B75" s="14" t="s">
        <v>135</v>
      </c>
      <c r="C75" s="18" t="s">
        <v>23</v>
      </c>
      <c r="D75" s="9">
        <v>0</v>
      </c>
      <c r="E75" s="9">
        <v>1</v>
      </c>
      <c r="F75" s="9">
        <v>2</v>
      </c>
      <c r="G75" s="9">
        <v>3</v>
      </c>
      <c r="H75" s="23">
        <v>3</v>
      </c>
      <c r="I75" s="23">
        <v>20</v>
      </c>
      <c r="J75" s="23">
        <v>20</v>
      </c>
      <c r="K75" s="23">
        <v>60</v>
      </c>
      <c r="L75" s="23"/>
      <c r="M75" s="23"/>
      <c r="N75" s="9">
        <v>100</v>
      </c>
    </row>
    <row r="76" spans="1:14" ht="15.75" x14ac:dyDescent="0.25">
      <c r="A76" s="13" t="s">
        <v>136</v>
      </c>
      <c r="B76" s="14" t="s">
        <v>137</v>
      </c>
      <c r="C76" s="18" t="s">
        <v>23</v>
      </c>
      <c r="D76" s="9">
        <v>0</v>
      </c>
      <c r="E76" s="9">
        <v>1</v>
      </c>
      <c r="F76" s="9">
        <v>2</v>
      </c>
      <c r="G76" s="9">
        <v>3</v>
      </c>
      <c r="H76" s="23">
        <v>3</v>
      </c>
      <c r="I76" s="23">
        <v>20</v>
      </c>
      <c r="J76" s="23">
        <v>20</v>
      </c>
      <c r="K76" s="23">
        <v>60</v>
      </c>
      <c r="L76" s="23"/>
      <c r="M76" s="23"/>
      <c r="N76" s="9">
        <v>100</v>
      </c>
    </row>
    <row r="77" spans="1:14" ht="15.75" x14ac:dyDescent="0.25">
      <c r="A77" s="13" t="s">
        <v>138</v>
      </c>
      <c r="B77" s="14" t="s">
        <v>139</v>
      </c>
      <c r="C77" s="18" t="s">
        <v>23</v>
      </c>
      <c r="D77" s="9">
        <v>0</v>
      </c>
      <c r="E77" s="9">
        <v>1</v>
      </c>
      <c r="F77" s="9">
        <v>2</v>
      </c>
      <c r="G77" s="9">
        <v>3</v>
      </c>
      <c r="H77" s="23">
        <v>3</v>
      </c>
      <c r="I77" s="23">
        <v>20</v>
      </c>
      <c r="J77" s="23">
        <v>20</v>
      </c>
      <c r="K77" s="23">
        <v>60</v>
      </c>
      <c r="L77" s="23"/>
      <c r="M77" s="23"/>
      <c r="N77" s="9">
        <v>100</v>
      </c>
    </row>
    <row r="78" spans="1:14" ht="15.75" x14ac:dyDescent="0.25">
      <c r="A78" s="58" t="s">
        <v>258</v>
      </c>
      <c r="B78" s="54" t="s">
        <v>256</v>
      </c>
      <c r="C78" s="55"/>
      <c r="D78" s="9"/>
      <c r="E78" s="9"/>
      <c r="F78" s="9">
        <v>2</v>
      </c>
      <c r="G78" s="9">
        <v>2</v>
      </c>
      <c r="H78" s="9">
        <v>2</v>
      </c>
      <c r="I78" s="31">
        <v>50</v>
      </c>
      <c r="J78" s="23"/>
      <c r="K78" s="23"/>
      <c r="L78" s="23"/>
      <c r="M78" s="23"/>
      <c r="N78" s="31">
        <v>50</v>
      </c>
    </row>
    <row r="79" spans="1:14" ht="15.75" x14ac:dyDescent="0.25">
      <c r="A79" s="52" t="s">
        <v>262</v>
      </c>
      <c r="B79" s="56" t="s">
        <v>263</v>
      </c>
      <c r="C79" s="18"/>
      <c r="D79" s="9"/>
      <c r="E79" s="9">
        <v>2</v>
      </c>
      <c r="F79" s="57">
        <v>0</v>
      </c>
      <c r="G79" s="57">
        <v>2</v>
      </c>
      <c r="H79" s="57">
        <v>2</v>
      </c>
      <c r="I79" s="31">
        <v>50</v>
      </c>
      <c r="J79" s="23"/>
      <c r="K79" s="23"/>
      <c r="L79" s="23"/>
      <c r="M79" s="23"/>
      <c r="N79" s="31">
        <v>50</v>
      </c>
    </row>
    <row r="80" spans="1:14" ht="15.75" x14ac:dyDescent="0.25">
      <c r="A80" s="8"/>
      <c r="B80" s="8"/>
      <c r="C80" s="13" t="s">
        <v>5</v>
      </c>
      <c r="D80" s="8"/>
      <c r="E80" s="8"/>
      <c r="F80" s="36"/>
      <c r="G80" s="36"/>
      <c r="H80" s="37">
        <v>12</v>
      </c>
      <c r="I80" s="24">
        <v>80</v>
      </c>
      <c r="J80" s="24">
        <v>80</v>
      </c>
      <c r="K80" s="21">
        <v>240</v>
      </c>
      <c r="L80" s="21"/>
      <c r="M80" s="21"/>
      <c r="N80" s="21">
        <v>400</v>
      </c>
    </row>
    <row r="81" spans="1:14" x14ac:dyDescent="0.25">
      <c r="A81" s="8"/>
      <c r="B81" s="8"/>
      <c r="C81" s="4" t="s">
        <v>140</v>
      </c>
      <c r="D81" s="8"/>
      <c r="E81" s="8"/>
      <c r="F81" s="8"/>
      <c r="G81" s="8"/>
      <c r="H81" s="9">
        <v>26</v>
      </c>
      <c r="I81" s="8"/>
      <c r="J81" s="8"/>
      <c r="K81" s="8"/>
      <c r="L81" s="8"/>
      <c r="M81" s="8"/>
      <c r="N81" s="21">
        <v>800</v>
      </c>
    </row>
    <row r="82" spans="1:14" x14ac:dyDescent="0.25">
      <c r="A82"/>
      <c r="B82"/>
      <c r="C82"/>
    </row>
    <row r="83" spans="1:14" x14ac:dyDescent="0.25">
      <c r="A83"/>
      <c r="B83"/>
      <c r="C83"/>
    </row>
    <row r="84" spans="1:14" x14ac:dyDescent="0.25">
      <c r="A84"/>
      <c r="B84"/>
      <c r="C84"/>
    </row>
    <row r="85" spans="1:14" x14ac:dyDescent="0.25">
      <c r="A85"/>
      <c r="B85"/>
      <c r="C85"/>
    </row>
    <row r="86" spans="1:14" x14ac:dyDescent="0.25">
      <c r="A86"/>
      <c r="B86"/>
      <c r="C86"/>
    </row>
    <row r="87" spans="1:14" x14ac:dyDescent="0.25">
      <c r="A87"/>
      <c r="B87"/>
      <c r="C87"/>
    </row>
    <row r="88" spans="1:14" x14ac:dyDescent="0.25">
      <c r="A88"/>
      <c r="B88"/>
      <c r="C88"/>
    </row>
    <row r="90" spans="1:14" ht="14.45" customHeight="1" x14ac:dyDescent="0.25">
      <c r="B90" s="97" t="s">
        <v>261</v>
      </c>
      <c r="C90" s="98" t="s">
        <v>254</v>
      </c>
      <c r="D90" s="98"/>
      <c r="G90" s="99" t="s">
        <v>252</v>
      </c>
      <c r="H90" s="99"/>
    </row>
    <row r="91" spans="1:14" x14ac:dyDescent="0.25">
      <c r="B91" s="97"/>
      <c r="C91" s="98"/>
      <c r="D91" s="98"/>
      <c r="G91" s="99"/>
      <c r="H91" s="99"/>
    </row>
  </sheetData>
  <mergeCells count="26">
    <mergeCell ref="A7:N7"/>
    <mergeCell ref="A14:N14"/>
    <mergeCell ref="A1:N1"/>
    <mergeCell ref="A2:N2"/>
    <mergeCell ref="A3:A6"/>
    <mergeCell ref="B3:B6"/>
    <mergeCell ref="C3:C6"/>
    <mergeCell ref="D3:G5"/>
    <mergeCell ref="H3:H6"/>
    <mergeCell ref="I3:N3"/>
    <mergeCell ref="I4:K4"/>
    <mergeCell ref="L4:M4"/>
    <mergeCell ref="I5:J5"/>
    <mergeCell ref="A11:N11"/>
    <mergeCell ref="A69:N69"/>
    <mergeCell ref="A53:N53"/>
    <mergeCell ref="A56:N56"/>
    <mergeCell ref="B90:B91"/>
    <mergeCell ref="C90:D91"/>
    <mergeCell ref="G90:H91"/>
    <mergeCell ref="A30:N30"/>
    <mergeCell ref="A43:N43"/>
    <mergeCell ref="A66:N66"/>
    <mergeCell ref="A40:N40"/>
    <mergeCell ref="A17:N17"/>
    <mergeCell ref="A27:N27"/>
  </mergeCells>
  <pageMargins left="0.7" right="0.7" top="0.75" bottom="0.75" header="0.3" footer="0.3"/>
  <pageSetup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9"/>
  <sheetViews>
    <sheetView tabSelected="1" topLeftCell="B57" zoomScale="94" zoomScaleNormal="77" workbookViewId="0">
      <selection activeCell="K43" sqref="K43:K46"/>
    </sheetView>
  </sheetViews>
  <sheetFormatPr defaultColWidth="9.140625" defaultRowHeight="15" x14ac:dyDescent="0.25"/>
  <cols>
    <col min="1" max="1" width="18.7109375" style="47" customWidth="1"/>
    <col min="2" max="2" width="60.42578125" style="47" bestFit="1" customWidth="1"/>
    <col min="3" max="3" width="20.42578125" style="47" customWidth="1"/>
    <col min="4" max="6" width="7.42578125" style="43" customWidth="1"/>
    <col min="7" max="7" width="9" style="43" customWidth="1"/>
    <col min="8" max="8" width="9.28515625" style="43" customWidth="1"/>
    <col min="9" max="9" width="9.140625" style="43" bestFit="1" customWidth="1"/>
    <col min="10" max="10" width="9.28515625" style="43" bestFit="1" customWidth="1"/>
    <col min="11" max="11" width="17" style="43" bestFit="1" customWidth="1"/>
    <col min="12" max="13" width="12.5703125" style="43" bestFit="1" customWidth="1"/>
    <col min="14" max="14" width="16.28515625" style="43" bestFit="1" customWidth="1"/>
    <col min="15" max="16384" width="9.140625" style="43"/>
  </cols>
  <sheetData>
    <row r="1" spans="1:14" ht="20.25" x14ac:dyDescent="0.3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 ht="20.25" x14ac:dyDescent="0.3">
      <c r="A2" s="80" t="s">
        <v>142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4" ht="18.75" x14ac:dyDescent="0.3">
      <c r="A3" s="81" t="s">
        <v>1</v>
      </c>
      <c r="B3" s="81" t="s">
        <v>2</v>
      </c>
      <c r="C3" s="81" t="s">
        <v>19</v>
      </c>
      <c r="D3" s="82" t="s">
        <v>12</v>
      </c>
      <c r="E3" s="82"/>
      <c r="F3" s="82"/>
      <c r="G3" s="82"/>
      <c r="H3" s="82" t="s">
        <v>7</v>
      </c>
      <c r="I3" s="83" t="s">
        <v>8</v>
      </c>
      <c r="J3" s="83"/>
      <c r="K3" s="83"/>
      <c r="L3" s="83"/>
      <c r="M3" s="83"/>
      <c r="N3" s="83"/>
    </row>
    <row r="4" spans="1:14" ht="18.75" x14ac:dyDescent="0.3">
      <c r="A4" s="81"/>
      <c r="B4" s="81"/>
      <c r="C4" s="81"/>
      <c r="D4" s="82"/>
      <c r="E4" s="82"/>
      <c r="F4" s="82"/>
      <c r="G4" s="82"/>
      <c r="H4" s="82"/>
      <c r="I4" s="83" t="s">
        <v>9</v>
      </c>
      <c r="J4" s="83"/>
      <c r="K4" s="83"/>
      <c r="L4" s="83" t="s">
        <v>10</v>
      </c>
      <c r="M4" s="83"/>
      <c r="N4" s="59" t="s">
        <v>11</v>
      </c>
    </row>
    <row r="5" spans="1:14" s="47" customFormat="1" ht="31.5" x14ac:dyDescent="0.25">
      <c r="A5" s="81"/>
      <c r="B5" s="81"/>
      <c r="C5" s="81"/>
      <c r="D5" s="82"/>
      <c r="E5" s="82"/>
      <c r="F5" s="82"/>
      <c r="G5" s="82"/>
      <c r="H5" s="82"/>
      <c r="I5" s="84" t="s">
        <v>15</v>
      </c>
      <c r="J5" s="84"/>
      <c r="K5" s="48" t="s">
        <v>18</v>
      </c>
      <c r="L5" s="49" t="s">
        <v>14</v>
      </c>
      <c r="M5" s="39" t="s">
        <v>13</v>
      </c>
      <c r="N5" s="60"/>
    </row>
    <row r="6" spans="1:14" ht="20.25" customHeight="1" x14ac:dyDescent="0.3">
      <c r="A6" s="81"/>
      <c r="B6" s="81"/>
      <c r="C6" s="81"/>
      <c r="D6" s="1" t="s">
        <v>3</v>
      </c>
      <c r="E6" s="1" t="s">
        <v>4</v>
      </c>
      <c r="F6" s="1" t="s">
        <v>6</v>
      </c>
      <c r="G6" s="1" t="s">
        <v>5</v>
      </c>
      <c r="H6" s="82"/>
      <c r="I6" s="5" t="s">
        <v>16</v>
      </c>
      <c r="J6" s="5" t="s">
        <v>17</v>
      </c>
      <c r="K6" s="5"/>
      <c r="L6" s="5" t="s">
        <v>20</v>
      </c>
      <c r="M6" s="5" t="s">
        <v>21</v>
      </c>
      <c r="N6" s="4"/>
    </row>
    <row r="7" spans="1:14" ht="20.25" customHeight="1" x14ac:dyDescent="0.25">
      <c r="A7" s="85" t="s">
        <v>143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7"/>
    </row>
    <row r="8" spans="1:14" ht="15.75" x14ac:dyDescent="0.25">
      <c r="A8" s="13" t="s">
        <v>144</v>
      </c>
      <c r="B8" s="14" t="s">
        <v>145</v>
      </c>
      <c r="C8" s="10" t="s">
        <v>22</v>
      </c>
      <c r="D8" s="12">
        <v>2</v>
      </c>
      <c r="E8" s="12">
        <v>1</v>
      </c>
      <c r="F8" s="12">
        <v>0</v>
      </c>
      <c r="G8" s="12">
        <v>3</v>
      </c>
      <c r="H8" s="12">
        <v>3</v>
      </c>
      <c r="I8" s="12">
        <v>20</v>
      </c>
      <c r="J8" s="12">
        <v>20</v>
      </c>
      <c r="K8" s="51">
        <v>60</v>
      </c>
      <c r="L8" s="12"/>
      <c r="M8" s="12"/>
      <c r="N8" s="12">
        <v>100</v>
      </c>
    </row>
    <row r="9" spans="1:14" ht="15.75" x14ac:dyDescent="0.25">
      <c r="A9" s="13" t="s">
        <v>146</v>
      </c>
      <c r="B9" s="14" t="s">
        <v>147</v>
      </c>
      <c r="C9" s="10" t="s">
        <v>22</v>
      </c>
      <c r="D9" s="12">
        <v>3</v>
      </c>
      <c r="E9" s="12">
        <v>0</v>
      </c>
      <c r="F9" s="12">
        <v>0</v>
      </c>
      <c r="G9" s="12">
        <v>3</v>
      </c>
      <c r="H9" s="12">
        <v>2</v>
      </c>
      <c r="I9" s="12">
        <v>0</v>
      </c>
      <c r="J9" s="12">
        <v>0</v>
      </c>
      <c r="K9" s="51">
        <v>50</v>
      </c>
      <c r="L9" s="12"/>
      <c r="M9" s="12"/>
      <c r="N9" s="12">
        <v>50</v>
      </c>
    </row>
    <row r="10" spans="1:14" ht="15.75" x14ac:dyDescent="0.25">
      <c r="A10" s="13" t="s">
        <v>148</v>
      </c>
      <c r="B10" s="14"/>
      <c r="C10" s="10" t="s">
        <v>36</v>
      </c>
      <c r="D10" s="12"/>
      <c r="E10" s="12"/>
      <c r="F10" s="12"/>
      <c r="G10" s="12"/>
      <c r="H10" s="12">
        <v>3</v>
      </c>
      <c r="I10" s="12"/>
      <c r="J10" s="12"/>
      <c r="K10" s="51"/>
      <c r="L10" s="12"/>
      <c r="M10" s="12"/>
      <c r="N10" s="12"/>
    </row>
    <row r="11" spans="1:14" ht="15.75" x14ac:dyDescent="0.25">
      <c r="A11" s="13" t="s">
        <v>149</v>
      </c>
      <c r="B11" s="14" t="s">
        <v>150</v>
      </c>
      <c r="C11" s="10" t="s">
        <v>151</v>
      </c>
      <c r="D11" s="12">
        <v>0</v>
      </c>
      <c r="E11" s="12">
        <v>0</v>
      </c>
      <c r="F11" s="12">
        <v>6</v>
      </c>
      <c r="G11" s="12">
        <v>6</v>
      </c>
      <c r="H11" s="12">
        <v>6</v>
      </c>
      <c r="I11" s="12"/>
      <c r="J11" s="12"/>
      <c r="K11" s="51"/>
      <c r="L11" s="12">
        <v>100</v>
      </c>
      <c r="M11" s="12">
        <v>50</v>
      </c>
      <c r="N11" s="12">
        <v>150</v>
      </c>
    </row>
    <row r="12" spans="1:14" ht="15.75" x14ac:dyDescent="0.25">
      <c r="A12" s="13"/>
      <c r="B12" s="14"/>
      <c r="C12" s="15" t="s">
        <v>5</v>
      </c>
      <c r="D12" s="11"/>
      <c r="E12" s="11"/>
      <c r="F12" s="11"/>
      <c r="G12" s="11"/>
      <c r="H12" s="6">
        <v>14</v>
      </c>
      <c r="I12" s="12">
        <v>20</v>
      </c>
      <c r="J12" s="12">
        <v>20</v>
      </c>
      <c r="K12" s="51">
        <v>110</v>
      </c>
      <c r="L12" s="6">
        <v>100</v>
      </c>
      <c r="M12" s="6">
        <v>50</v>
      </c>
      <c r="N12" s="6">
        <v>300</v>
      </c>
    </row>
    <row r="13" spans="1:14" ht="15.75" x14ac:dyDescent="0.25">
      <c r="A13" s="61" t="s">
        <v>152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3"/>
    </row>
    <row r="14" spans="1:14" ht="15.75" x14ac:dyDescent="0.25">
      <c r="A14" s="13" t="s">
        <v>153</v>
      </c>
      <c r="B14" s="14" t="s">
        <v>154</v>
      </c>
      <c r="C14" s="10" t="s">
        <v>36</v>
      </c>
      <c r="D14" s="12">
        <v>2</v>
      </c>
      <c r="E14" s="12">
        <v>1</v>
      </c>
      <c r="F14" s="12">
        <v>0</v>
      </c>
      <c r="G14" s="12">
        <v>3</v>
      </c>
      <c r="H14" s="12">
        <v>3</v>
      </c>
      <c r="I14" s="12">
        <v>20</v>
      </c>
      <c r="J14" s="12">
        <v>20</v>
      </c>
      <c r="K14" s="12">
        <v>60</v>
      </c>
      <c r="L14" s="12"/>
      <c r="M14" s="40"/>
      <c r="N14" s="12">
        <v>100</v>
      </c>
    </row>
    <row r="15" spans="1:14" ht="15.75" x14ac:dyDescent="0.25">
      <c r="A15" s="13"/>
      <c r="B15" s="14"/>
      <c r="C15" s="44" t="s">
        <v>5</v>
      </c>
      <c r="D15" s="11"/>
      <c r="E15" s="11"/>
      <c r="F15" s="11"/>
      <c r="G15" s="11"/>
      <c r="H15" s="6">
        <v>3</v>
      </c>
      <c r="I15" s="12">
        <v>20</v>
      </c>
      <c r="J15" s="12">
        <v>20</v>
      </c>
      <c r="K15" s="6">
        <v>60</v>
      </c>
      <c r="L15" s="6"/>
      <c r="M15" s="40"/>
      <c r="N15" s="6">
        <v>100</v>
      </c>
    </row>
    <row r="16" spans="1:14" ht="15.75" x14ac:dyDescent="0.25">
      <c r="A16" s="61" t="s">
        <v>155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3"/>
    </row>
    <row r="17" spans="1:14" ht="15.75" x14ac:dyDescent="0.25">
      <c r="A17" s="13" t="s">
        <v>156</v>
      </c>
      <c r="B17" s="14" t="s">
        <v>157</v>
      </c>
      <c r="C17" s="15" t="s">
        <v>23</v>
      </c>
      <c r="D17" s="12">
        <v>1</v>
      </c>
      <c r="E17" s="12">
        <v>0</v>
      </c>
      <c r="F17" s="12">
        <v>2</v>
      </c>
      <c r="G17" s="12">
        <v>3</v>
      </c>
      <c r="H17" s="12">
        <v>3</v>
      </c>
      <c r="I17" s="12">
        <v>20</v>
      </c>
      <c r="J17" s="12">
        <v>20</v>
      </c>
      <c r="K17" s="12">
        <v>60</v>
      </c>
      <c r="L17" s="12"/>
      <c r="M17" s="40"/>
      <c r="N17" s="12">
        <v>100</v>
      </c>
    </row>
    <row r="18" spans="1:14" ht="15.75" x14ac:dyDescent="0.25">
      <c r="A18" s="13" t="s">
        <v>158</v>
      </c>
      <c r="B18" s="14" t="s">
        <v>159</v>
      </c>
      <c r="C18" s="15" t="s">
        <v>23</v>
      </c>
      <c r="D18" s="12">
        <v>2</v>
      </c>
      <c r="E18" s="12">
        <v>0</v>
      </c>
      <c r="F18" s="12">
        <v>1</v>
      </c>
      <c r="G18" s="12">
        <v>3</v>
      </c>
      <c r="H18" s="12">
        <v>3</v>
      </c>
      <c r="I18" s="12">
        <v>20</v>
      </c>
      <c r="J18" s="12">
        <v>20</v>
      </c>
      <c r="K18" s="12">
        <v>60</v>
      </c>
      <c r="L18" s="12"/>
      <c r="M18" s="40"/>
      <c r="N18" s="12">
        <v>100</v>
      </c>
    </row>
    <row r="19" spans="1:14" ht="15.75" x14ac:dyDescent="0.25">
      <c r="A19" s="13" t="s">
        <v>160</v>
      </c>
      <c r="B19" s="14" t="s">
        <v>161</v>
      </c>
      <c r="C19" s="15" t="s">
        <v>23</v>
      </c>
      <c r="D19" s="12">
        <v>2</v>
      </c>
      <c r="E19" s="12">
        <v>0</v>
      </c>
      <c r="F19" s="12">
        <v>1</v>
      </c>
      <c r="G19" s="12">
        <v>3</v>
      </c>
      <c r="H19" s="12">
        <v>3</v>
      </c>
      <c r="I19" s="12">
        <v>20</v>
      </c>
      <c r="J19" s="12">
        <v>20</v>
      </c>
      <c r="K19" s="12">
        <v>60</v>
      </c>
      <c r="L19" s="12"/>
      <c r="M19" s="40"/>
      <c r="N19" s="12">
        <v>100</v>
      </c>
    </row>
    <row r="20" spans="1:14" ht="15.75" x14ac:dyDescent="0.25">
      <c r="A20" s="13" t="s">
        <v>162</v>
      </c>
      <c r="B20" s="14" t="s">
        <v>163</v>
      </c>
      <c r="C20" s="15" t="s">
        <v>23</v>
      </c>
      <c r="D20" s="12">
        <v>1</v>
      </c>
      <c r="E20" s="12">
        <v>0</v>
      </c>
      <c r="F20" s="12">
        <v>2</v>
      </c>
      <c r="G20" s="12">
        <v>3</v>
      </c>
      <c r="H20" s="12">
        <v>3</v>
      </c>
      <c r="I20" s="12">
        <v>20</v>
      </c>
      <c r="J20" s="12">
        <v>20</v>
      </c>
      <c r="K20" s="12">
        <v>60</v>
      </c>
      <c r="L20" s="12"/>
      <c r="M20" s="40"/>
      <c r="N20" s="12">
        <v>100</v>
      </c>
    </row>
    <row r="21" spans="1:14" ht="15.75" x14ac:dyDescent="0.25">
      <c r="A21" s="13" t="s">
        <v>164</v>
      </c>
      <c r="B21" s="14" t="s">
        <v>165</v>
      </c>
      <c r="C21" s="15" t="s">
        <v>23</v>
      </c>
      <c r="D21" s="12">
        <v>2</v>
      </c>
      <c r="E21" s="12">
        <v>0</v>
      </c>
      <c r="F21" s="12">
        <v>1</v>
      </c>
      <c r="G21" s="12">
        <v>3</v>
      </c>
      <c r="H21" s="12">
        <v>3</v>
      </c>
      <c r="I21" s="12">
        <v>20</v>
      </c>
      <c r="J21" s="12">
        <v>20</v>
      </c>
      <c r="K21" s="12">
        <v>60</v>
      </c>
      <c r="L21" s="12"/>
      <c r="M21" s="40"/>
      <c r="N21" s="12">
        <v>100</v>
      </c>
    </row>
    <row r="22" spans="1:14" ht="15.75" x14ac:dyDescent="0.25">
      <c r="A22" s="13" t="s">
        <v>166</v>
      </c>
      <c r="B22" s="14" t="s">
        <v>167</v>
      </c>
      <c r="C22" s="15" t="s">
        <v>23</v>
      </c>
      <c r="D22" s="12">
        <v>2</v>
      </c>
      <c r="E22" s="12">
        <v>1</v>
      </c>
      <c r="F22" s="12">
        <v>0</v>
      </c>
      <c r="G22" s="12">
        <v>3</v>
      </c>
      <c r="H22" s="12">
        <v>3</v>
      </c>
      <c r="I22" s="12">
        <v>20</v>
      </c>
      <c r="J22" s="12">
        <v>20</v>
      </c>
      <c r="K22" s="12">
        <v>60</v>
      </c>
      <c r="L22" s="12"/>
      <c r="M22" s="40"/>
      <c r="N22" s="12">
        <v>100</v>
      </c>
    </row>
    <row r="23" spans="1:14" ht="15.75" x14ac:dyDescent="0.25">
      <c r="A23" s="13" t="s">
        <v>168</v>
      </c>
      <c r="B23" s="14" t="s">
        <v>169</v>
      </c>
      <c r="C23" s="15" t="s">
        <v>23</v>
      </c>
      <c r="D23" s="12">
        <v>1</v>
      </c>
      <c r="E23" s="12">
        <v>0</v>
      </c>
      <c r="F23" s="12">
        <v>2</v>
      </c>
      <c r="G23" s="12">
        <v>3</v>
      </c>
      <c r="H23" s="12">
        <v>3</v>
      </c>
      <c r="I23" s="12">
        <v>20</v>
      </c>
      <c r="J23" s="12">
        <v>20</v>
      </c>
      <c r="K23" s="12">
        <v>60</v>
      </c>
      <c r="L23" s="12"/>
      <c r="M23" s="40"/>
      <c r="N23" s="12">
        <v>100</v>
      </c>
    </row>
    <row r="24" spans="1:14" ht="15.75" x14ac:dyDescent="0.25">
      <c r="A24" s="13" t="s">
        <v>170</v>
      </c>
      <c r="B24" s="14" t="s">
        <v>171</v>
      </c>
      <c r="C24" s="15" t="s">
        <v>23</v>
      </c>
      <c r="D24" s="12">
        <v>1</v>
      </c>
      <c r="E24" s="12">
        <v>0</v>
      </c>
      <c r="F24" s="12">
        <v>2</v>
      </c>
      <c r="G24" s="12">
        <v>3</v>
      </c>
      <c r="H24" s="12">
        <v>3</v>
      </c>
      <c r="I24" s="12">
        <v>20</v>
      </c>
      <c r="J24" s="12">
        <v>20</v>
      </c>
      <c r="K24" s="12">
        <v>60</v>
      </c>
      <c r="L24" s="12"/>
      <c r="M24" s="40"/>
      <c r="N24" s="12">
        <v>100</v>
      </c>
    </row>
    <row r="25" spans="1:14" ht="15.75" x14ac:dyDescent="0.25">
      <c r="A25" s="13"/>
      <c r="B25" s="14"/>
      <c r="C25" s="15" t="s">
        <v>5</v>
      </c>
      <c r="D25" s="11"/>
      <c r="E25" s="11"/>
      <c r="F25" s="11"/>
      <c r="G25" s="11"/>
      <c r="H25" s="6">
        <v>12</v>
      </c>
      <c r="I25" s="12">
        <v>80</v>
      </c>
      <c r="J25" s="12">
        <v>80</v>
      </c>
      <c r="K25" s="6">
        <v>240</v>
      </c>
      <c r="L25" s="6"/>
      <c r="M25" s="40"/>
      <c r="N25" s="6">
        <v>400</v>
      </c>
    </row>
    <row r="26" spans="1:14" ht="15.75" x14ac:dyDescent="0.25">
      <c r="A26" s="64" t="s">
        <v>172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6"/>
    </row>
    <row r="27" spans="1:14" ht="15.75" x14ac:dyDescent="0.25">
      <c r="A27" s="13" t="s">
        <v>173</v>
      </c>
      <c r="B27" s="14" t="s">
        <v>174</v>
      </c>
      <c r="C27" s="39" t="s">
        <v>23</v>
      </c>
      <c r="D27" s="8">
        <v>2</v>
      </c>
      <c r="E27" s="8">
        <v>1</v>
      </c>
      <c r="F27" s="8">
        <v>0</v>
      </c>
      <c r="G27" s="45">
        <v>3</v>
      </c>
      <c r="H27" s="45">
        <v>3</v>
      </c>
      <c r="I27" s="45">
        <v>20</v>
      </c>
      <c r="J27" s="45">
        <v>20</v>
      </c>
      <c r="K27" s="45">
        <v>60</v>
      </c>
      <c r="L27" s="45"/>
      <c r="M27" s="40"/>
      <c r="N27" s="12">
        <v>100</v>
      </c>
    </row>
    <row r="28" spans="1:14" ht="15.75" x14ac:dyDescent="0.25">
      <c r="A28" s="13"/>
      <c r="B28" s="14"/>
      <c r="C28" s="39" t="s">
        <v>5</v>
      </c>
      <c r="D28" s="40"/>
      <c r="E28" s="40"/>
      <c r="F28" s="40"/>
      <c r="G28" s="40"/>
      <c r="H28" s="5">
        <v>3</v>
      </c>
      <c r="I28" s="45"/>
      <c r="J28" s="45"/>
      <c r="K28" s="5">
        <v>60</v>
      </c>
      <c r="L28" s="5"/>
      <c r="M28" s="40"/>
      <c r="N28" s="6">
        <v>100</v>
      </c>
    </row>
    <row r="29" spans="1:14" ht="15.75" x14ac:dyDescent="0.25">
      <c r="A29" s="61" t="s">
        <v>175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3"/>
    </row>
    <row r="30" spans="1:14" ht="15.75" x14ac:dyDescent="0.25">
      <c r="A30" s="13" t="s">
        <v>176</v>
      </c>
      <c r="B30" s="14" t="s">
        <v>177</v>
      </c>
      <c r="C30" s="39" t="s">
        <v>23</v>
      </c>
      <c r="D30" s="13">
        <v>2</v>
      </c>
      <c r="E30" s="13">
        <v>1</v>
      </c>
      <c r="F30" s="13">
        <v>0</v>
      </c>
      <c r="G30" s="13">
        <f>SUM(D30:F30)</f>
        <v>3</v>
      </c>
      <c r="H30" s="20">
        <v>3</v>
      </c>
      <c r="I30" s="20">
        <v>20</v>
      </c>
      <c r="J30" s="20">
        <v>20</v>
      </c>
      <c r="K30" s="20">
        <v>60</v>
      </c>
      <c r="L30" s="20"/>
      <c r="M30" s="20"/>
      <c r="N30" s="13">
        <v>100</v>
      </c>
    </row>
    <row r="31" spans="1:14" ht="15.75" x14ac:dyDescent="0.25">
      <c r="A31" s="13" t="s">
        <v>178</v>
      </c>
      <c r="B31" s="14" t="s">
        <v>179</v>
      </c>
      <c r="C31" s="39" t="s">
        <v>23</v>
      </c>
      <c r="D31" s="13">
        <v>2</v>
      </c>
      <c r="E31" s="13">
        <v>1</v>
      </c>
      <c r="F31" s="13">
        <v>0</v>
      </c>
      <c r="G31" s="13">
        <f t="shared" ref="G31:G37" si="0">SUM(D31:F31)</f>
        <v>3</v>
      </c>
      <c r="H31" s="20">
        <v>3</v>
      </c>
      <c r="I31" s="20">
        <v>20</v>
      </c>
      <c r="J31" s="20">
        <v>20</v>
      </c>
      <c r="K31" s="20">
        <v>60</v>
      </c>
      <c r="L31" s="20"/>
      <c r="M31" s="20"/>
      <c r="N31" s="13">
        <v>100</v>
      </c>
    </row>
    <row r="32" spans="1:14" ht="15.75" x14ac:dyDescent="0.25">
      <c r="A32" s="13" t="s">
        <v>180</v>
      </c>
      <c r="B32" s="14" t="s">
        <v>181</v>
      </c>
      <c r="C32" s="39" t="s">
        <v>23</v>
      </c>
      <c r="D32" s="13">
        <v>2</v>
      </c>
      <c r="E32" s="13">
        <v>1</v>
      </c>
      <c r="F32" s="13">
        <v>0</v>
      </c>
      <c r="G32" s="13">
        <f t="shared" si="0"/>
        <v>3</v>
      </c>
      <c r="H32" s="20">
        <v>3</v>
      </c>
      <c r="I32" s="20">
        <v>20</v>
      </c>
      <c r="J32" s="20">
        <v>20</v>
      </c>
      <c r="K32" s="20">
        <v>60</v>
      </c>
      <c r="L32" s="20"/>
      <c r="M32" s="20"/>
      <c r="N32" s="13">
        <v>100</v>
      </c>
    </row>
    <row r="33" spans="1:14" ht="15.75" x14ac:dyDescent="0.25">
      <c r="A33" s="13" t="s">
        <v>182</v>
      </c>
      <c r="B33" s="14" t="s">
        <v>183</v>
      </c>
      <c r="C33" s="39" t="s">
        <v>23</v>
      </c>
      <c r="D33" s="13">
        <v>2</v>
      </c>
      <c r="E33" s="13">
        <v>1</v>
      </c>
      <c r="F33" s="13">
        <v>0</v>
      </c>
      <c r="G33" s="13">
        <f t="shared" si="0"/>
        <v>3</v>
      </c>
      <c r="H33" s="20">
        <v>3</v>
      </c>
      <c r="I33" s="20">
        <v>20</v>
      </c>
      <c r="J33" s="20">
        <v>20</v>
      </c>
      <c r="K33" s="20">
        <v>60</v>
      </c>
      <c r="L33" s="20"/>
      <c r="M33" s="20"/>
      <c r="N33" s="13">
        <v>100</v>
      </c>
    </row>
    <row r="34" spans="1:14" ht="15.75" x14ac:dyDescent="0.25">
      <c r="A34" s="13" t="s">
        <v>184</v>
      </c>
      <c r="B34" s="14" t="s">
        <v>185</v>
      </c>
      <c r="C34" s="39" t="s">
        <v>23</v>
      </c>
      <c r="D34" s="13">
        <v>2</v>
      </c>
      <c r="E34" s="13">
        <v>1</v>
      </c>
      <c r="F34" s="13">
        <v>0</v>
      </c>
      <c r="G34" s="13">
        <f t="shared" si="0"/>
        <v>3</v>
      </c>
      <c r="H34" s="20">
        <v>3</v>
      </c>
      <c r="I34" s="20">
        <v>20</v>
      </c>
      <c r="J34" s="20">
        <v>20</v>
      </c>
      <c r="K34" s="20">
        <v>60</v>
      </c>
      <c r="L34" s="20"/>
      <c r="M34" s="20"/>
      <c r="N34" s="13">
        <v>100</v>
      </c>
    </row>
    <row r="35" spans="1:14" ht="15.75" x14ac:dyDescent="0.25">
      <c r="A35" s="13" t="s">
        <v>186</v>
      </c>
      <c r="B35" s="14" t="s">
        <v>187</v>
      </c>
      <c r="C35" s="39" t="s">
        <v>23</v>
      </c>
      <c r="D35" s="13">
        <v>2</v>
      </c>
      <c r="E35" s="13">
        <v>1</v>
      </c>
      <c r="F35" s="13">
        <v>0</v>
      </c>
      <c r="G35" s="13">
        <f t="shared" si="0"/>
        <v>3</v>
      </c>
      <c r="H35" s="20">
        <v>3</v>
      </c>
      <c r="I35" s="20">
        <v>20</v>
      </c>
      <c r="J35" s="20">
        <v>20</v>
      </c>
      <c r="K35" s="20">
        <v>60</v>
      </c>
      <c r="L35" s="20"/>
      <c r="M35" s="20"/>
      <c r="N35" s="13">
        <v>100</v>
      </c>
    </row>
    <row r="36" spans="1:14" ht="15.75" x14ac:dyDescent="0.25">
      <c r="A36" s="13" t="s">
        <v>188</v>
      </c>
      <c r="B36" s="14" t="s">
        <v>189</v>
      </c>
      <c r="C36" s="39" t="s">
        <v>23</v>
      </c>
      <c r="D36" s="13">
        <v>2</v>
      </c>
      <c r="E36" s="13">
        <v>1</v>
      </c>
      <c r="F36" s="13">
        <v>0</v>
      </c>
      <c r="G36" s="13">
        <f t="shared" si="0"/>
        <v>3</v>
      </c>
      <c r="H36" s="20">
        <v>3</v>
      </c>
      <c r="I36" s="20">
        <v>20</v>
      </c>
      <c r="J36" s="20">
        <v>20</v>
      </c>
      <c r="K36" s="20">
        <v>60</v>
      </c>
      <c r="L36" s="20"/>
      <c r="M36" s="20"/>
      <c r="N36" s="13">
        <v>100</v>
      </c>
    </row>
    <row r="37" spans="1:14" ht="15.75" x14ac:dyDescent="0.25">
      <c r="A37" s="13" t="s">
        <v>190</v>
      </c>
      <c r="B37" s="14" t="s">
        <v>191</v>
      </c>
      <c r="C37" s="39" t="s">
        <v>23</v>
      </c>
      <c r="D37" s="13">
        <v>2</v>
      </c>
      <c r="E37" s="13">
        <v>1</v>
      </c>
      <c r="F37" s="13">
        <v>0</v>
      </c>
      <c r="G37" s="13">
        <f t="shared" si="0"/>
        <v>3</v>
      </c>
      <c r="H37" s="20">
        <v>3</v>
      </c>
      <c r="I37" s="20">
        <v>20</v>
      </c>
      <c r="J37" s="20">
        <v>20</v>
      </c>
      <c r="K37" s="20">
        <v>60</v>
      </c>
      <c r="L37" s="20"/>
      <c r="M37" s="20"/>
      <c r="N37" s="13">
        <v>100</v>
      </c>
    </row>
    <row r="38" spans="1:14" ht="15.75" x14ac:dyDescent="0.25">
      <c r="A38" s="46"/>
      <c r="B38" s="46"/>
      <c r="C38" s="13" t="s">
        <v>5</v>
      </c>
      <c r="D38" s="40"/>
      <c r="E38" s="40"/>
      <c r="F38" s="40"/>
      <c r="G38" s="40"/>
      <c r="H38" s="5">
        <v>12</v>
      </c>
      <c r="I38" s="40">
        <v>80</v>
      </c>
      <c r="J38" s="40">
        <v>80</v>
      </c>
      <c r="K38" s="5">
        <v>240</v>
      </c>
      <c r="L38" s="5"/>
      <c r="M38" s="5"/>
      <c r="N38" s="6">
        <v>400</v>
      </c>
    </row>
    <row r="39" spans="1:14" x14ac:dyDescent="0.25">
      <c r="A39" s="70" t="s">
        <v>192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2"/>
    </row>
    <row r="40" spans="1:14" ht="15.75" x14ac:dyDescent="0.25">
      <c r="A40" s="13" t="s">
        <v>193</v>
      </c>
      <c r="B40" s="14" t="s">
        <v>194</v>
      </c>
      <c r="C40" s="39" t="s">
        <v>36</v>
      </c>
      <c r="D40" s="9">
        <v>2</v>
      </c>
      <c r="E40" s="9">
        <v>1</v>
      </c>
      <c r="F40" s="9">
        <v>0</v>
      </c>
      <c r="G40" s="45">
        <v>3</v>
      </c>
      <c r="H40" s="45">
        <v>3</v>
      </c>
      <c r="I40" s="45">
        <v>20</v>
      </c>
      <c r="J40" s="45">
        <v>20</v>
      </c>
      <c r="K40" s="45">
        <v>60</v>
      </c>
      <c r="L40" s="45"/>
      <c r="M40" s="45"/>
      <c r="N40" s="6">
        <v>100</v>
      </c>
    </row>
    <row r="41" spans="1:14" ht="15.75" x14ac:dyDescent="0.25">
      <c r="A41" s="13"/>
      <c r="B41" s="14"/>
      <c r="C41" s="39" t="s">
        <v>5</v>
      </c>
      <c r="D41" s="40"/>
      <c r="E41" s="40"/>
      <c r="F41" s="40"/>
      <c r="G41" s="40"/>
      <c r="H41" s="5">
        <v>3</v>
      </c>
      <c r="I41" s="45"/>
      <c r="J41" s="45"/>
      <c r="K41" s="45"/>
      <c r="L41" s="5"/>
      <c r="M41" s="5"/>
      <c r="N41" s="5"/>
    </row>
    <row r="42" spans="1:14" ht="15.75" x14ac:dyDescent="0.25">
      <c r="A42" s="61" t="s">
        <v>195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3"/>
    </row>
    <row r="43" spans="1:14" ht="15.75" x14ac:dyDescent="0.25">
      <c r="A43" s="13" t="s">
        <v>196</v>
      </c>
      <c r="B43" s="14" t="s">
        <v>197</v>
      </c>
      <c r="C43" s="13" t="s">
        <v>23</v>
      </c>
      <c r="D43" s="13">
        <v>1</v>
      </c>
      <c r="E43" s="13">
        <v>1</v>
      </c>
      <c r="F43" s="13">
        <v>2</v>
      </c>
      <c r="G43" s="13">
        <v>3</v>
      </c>
      <c r="H43" s="20">
        <v>3</v>
      </c>
      <c r="I43" s="20">
        <v>20</v>
      </c>
      <c r="J43" s="20">
        <v>20</v>
      </c>
      <c r="K43" s="20">
        <v>60</v>
      </c>
      <c r="L43" s="20"/>
      <c r="M43" s="40"/>
      <c r="N43" s="13">
        <v>100</v>
      </c>
    </row>
    <row r="44" spans="1:14" ht="15.75" x14ac:dyDescent="0.25">
      <c r="A44" s="13" t="s">
        <v>198</v>
      </c>
      <c r="B44" s="14" t="s">
        <v>211</v>
      </c>
      <c r="C44" s="17" t="s">
        <v>23</v>
      </c>
      <c r="D44" s="13">
        <v>1</v>
      </c>
      <c r="E44" s="13">
        <v>1</v>
      </c>
      <c r="F44" s="13">
        <v>2</v>
      </c>
      <c r="G44" s="13">
        <v>3</v>
      </c>
      <c r="H44" s="20">
        <v>3</v>
      </c>
      <c r="I44" s="20">
        <v>20</v>
      </c>
      <c r="J44" s="20">
        <v>20</v>
      </c>
      <c r="K44" s="20">
        <v>60</v>
      </c>
      <c r="L44" s="20"/>
      <c r="M44" s="40"/>
      <c r="N44" s="13">
        <v>100</v>
      </c>
    </row>
    <row r="45" spans="1:14" ht="15.75" x14ac:dyDescent="0.25">
      <c r="A45" s="13" t="s">
        <v>199</v>
      </c>
      <c r="B45" s="14" t="s">
        <v>200</v>
      </c>
      <c r="C45" s="17" t="s">
        <v>23</v>
      </c>
      <c r="D45" s="13">
        <v>1</v>
      </c>
      <c r="E45" s="13">
        <v>1</v>
      </c>
      <c r="F45" s="13">
        <v>2</v>
      </c>
      <c r="G45" s="13">
        <v>3</v>
      </c>
      <c r="H45" s="20">
        <v>3</v>
      </c>
      <c r="I45" s="20">
        <v>20</v>
      </c>
      <c r="J45" s="20">
        <v>20</v>
      </c>
      <c r="K45" s="20">
        <v>60</v>
      </c>
      <c r="L45" s="20"/>
      <c r="M45" s="40"/>
      <c r="N45" s="13">
        <v>100</v>
      </c>
    </row>
    <row r="46" spans="1:14" ht="15.75" x14ac:dyDescent="0.25">
      <c r="A46" s="13" t="s">
        <v>201</v>
      </c>
      <c r="B46" s="14" t="s">
        <v>202</v>
      </c>
      <c r="C46" s="13" t="s">
        <v>23</v>
      </c>
      <c r="D46" s="13">
        <v>1</v>
      </c>
      <c r="E46" s="13">
        <v>1</v>
      </c>
      <c r="F46" s="13">
        <v>2</v>
      </c>
      <c r="G46" s="13">
        <v>3</v>
      </c>
      <c r="H46" s="20">
        <v>3</v>
      </c>
      <c r="I46" s="20">
        <v>20</v>
      </c>
      <c r="J46" s="20">
        <v>20</v>
      </c>
      <c r="K46" s="20">
        <v>60</v>
      </c>
      <c r="L46" s="20"/>
      <c r="M46" s="40"/>
      <c r="N46" s="13">
        <v>100</v>
      </c>
    </row>
    <row r="47" spans="1:14" ht="15.75" x14ac:dyDescent="0.25">
      <c r="A47" s="13" t="s">
        <v>203</v>
      </c>
      <c r="B47" s="14" t="s">
        <v>204</v>
      </c>
      <c r="C47" s="13" t="s">
        <v>23</v>
      </c>
      <c r="D47" s="13">
        <v>1</v>
      </c>
      <c r="E47" s="13">
        <v>1</v>
      </c>
      <c r="F47" s="13">
        <v>2</v>
      </c>
      <c r="G47" s="13">
        <v>3</v>
      </c>
      <c r="H47" s="20">
        <v>3</v>
      </c>
      <c r="I47" s="20">
        <v>20</v>
      </c>
      <c r="J47" s="20">
        <v>20</v>
      </c>
      <c r="K47" s="20">
        <v>60</v>
      </c>
      <c r="L47" s="20"/>
      <c r="M47" s="40"/>
      <c r="N47" s="13">
        <v>100</v>
      </c>
    </row>
    <row r="48" spans="1:14" ht="15.75" x14ac:dyDescent="0.25">
      <c r="A48" s="13" t="s">
        <v>205</v>
      </c>
      <c r="B48" s="14" t="s">
        <v>206</v>
      </c>
      <c r="C48" s="13" t="s">
        <v>23</v>
      </c>
      <c r="D48" s="13">
        <v>1</v>
      </c>
      <c r="E48" s="13">
        <v>1</v>
      </c>
      <c r="F48" s="13">
        <v>2</v>
      </c>
      <c r="G48" s="13">
        <v>3</v>
      </c>
      <c r="H48" s="20">
        <v>3</v>
      </c>
      <c r="I48" s="20">
        <v>20</v>
      </c>
      <c r="J48" s="20">
        <v>20</v>
      </c>
      <c r="K48" s="20">
        <v>60</v>
      </c>
      <c r="L48" s="20"/>
      <c r="M48" s="40"/>
      <c r="N48" s="13">
        <v>100</v>
      </c>
    </row>
    <row r="49" spans="1:14" ht="15.75" x14ac:dyDescent="0.25">
      <c r="A49" s="13" t="s">
        <v>207</v>
      </c>
      <c r="B49" s="14" t="s">
        <v>208</v>
      </c>
      <c r="C49" s="13" t="s">
        <v>23</v>
      </c>
      <c r="D49" s="13">
        <v>1</v>
      </c>
      <c r="E49" s="13">
        <v>1</v>
      </c>
      <c r="F49" s="13">
        <v>2</v>
      </c>
      <c r="G49" s="13">
        <v>3</v>
      </c>
      <c r="H49" s="20">
        <v>3</v>
      </c>
      <c r="I49" s="20">
        <v>20</v>
      </c>
      <c r="J49" s="20">
        <v>20</v>
      </c>
      <c r="K49" s="20">
        <v>60</v>
      </c>
      <c r="L49" s="20"/>
      <c r="M49" s="40"/>
      <c r="N49" s="13">
        <v>100</v>
      </c>
    </row>
    <row r="50" spans="1:14" ht="15.75" x14ac:dyDescent="0.25">
      <c r="A50" s="13" t="s">
        <v>209</v>
      </c>
      <c r="B50" s="14" t="s">
        <v>210</v>
      </c>
      <c r="C50" s="13" t="s">
        <v>23</v>
      </c>
      <c r="D50" s="13">
        <v>1</v>
      </c>
      <c r="E50" s="13">
        <v>1</v>
      </c>
      <c r="F50" s="13">
        <v>2</v>
      </c>
      <c r="G50" s="13">
        <v>3</v>
      </c>
      <c r="H50" s="20">
        <v>3</v>
      </c>
      <c r="I50" s="20">
        <v>20</v>
      </c>
      <c r="J50" s="20">
        <v>20</v>
      </c>
      <c r="K50" s="20">
        <v>60</v>
      </c>
      <c r="L50" s="20"/>
      <c r="M50" s="40"/>
      <c r="N50" s="13">
        <v>100</v>
      </c>
    </row>
    <row r="51" spans="1:14" ht="15.75" x14ac:dyDescent="0.25">
      <c r="A51" s="46"/>
      <c r="B51" s="46"/>
      <c r="C51" s="13" t="s">
        <v>5</v>
      </c>
      <c r="D51" s="40"/>
      <c r="E51" s="40"/>
      <c r="F51" s="40"/>
      <c r="G51" s="40"/>
      <c r="H51" s="5">
        <v>12</v>
      </c>
      <c r="I51" s="45">
        <v>80</v>
      </c>
      <c r="J51" s="45">
        <v>80</v>
      </c>
      <c r="K51" s="5">
        <v>240</v>
      </c>
      <c r="L51" s="5"/>
      <c r="M51" s="40"/>
      <c r="N51" s="6">
        <v>400</v>
      </c>
    </row>
    <row r="52" spans="1:14" ht="15.75" x14ac:dyDescent="0.25">
      <c r="A52" s="73" t="s">
        <v>212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5"/>
    </row>
    <row r="53" spans="1:14" ht="15.75" x14ac:dyDescent="0.25">
      <c r="A53" s="13" t="s">
        <v>213</v>
      </c>
      <c r="B53" s="14" t="s">
        <v>214</v>
      </c>
      <c r="C53" s="39" t="s">
        <v>36</v>
      </c>
      <c r="D53" s="53">
        <v>2</v>
      </c>
      <c r="E53" s="53">
        <v>1</v>
      </c>
      <c r="F53" s="53">
        <v>1</v>
      </c>
      <c r="G53" s="45">
        <v>4</v>
      </c>
      <c r="H53" s="45">
        <v>3</v>
      </c>
      <c r="I53" s="45">
        <v>20</v>
      </c>
      <c r="J53" s="45">
        <v>20</v>
      </c>
      <c r="K53" s="45">
        <v>60</v>
      </c>
      <c r="L53" s="45"/>
      <c r="M53" s="45"/>
      <c r="N53" s="12">
        <v>100</v>
      </c>
    </row>
    <row r="54" spans="1:14" ht="15.75" x14ac:dyDescent="0.25">
      <c r="A54" s="13"/>
      <c r="B54" s="16"/>
      <c r="C54" s="13" t="s">
        <v>5</v>
      </c>
      <c r="D54" s="40"/>
      <c r="E54" s="40"/>
      <c r="F54" s="40"/>
      <c r="G54" s="40"/>
      <c r="H54" s="5">
        <v>3</v>
      </c>
      <c r="I54" s="45">
        <v>20</v>
      </c>
      <c r="J54" s="45">
        <v>20</v>
      </c>
      <c r="K54" s="45">
        <v>60</v>
      </c>
      <c r="L54" s="5"/>
      <c r="M54" s="5"/>
      <c r="N54" s="6">
        <v>100</v>
      </c>
    </row>
    <row r="55" spans="1:14" ht="15.75" x14ac:dyDescent="0.25">
      <c r="A55" s="73" t="s">
        <v>215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5"/>
    </row>
    <row r="56" spans="1:14" ht="15.75" x14ac:dyDescent="0.25">
      <c r="A56" s="13" t="s">
        <v>216</v>
      </c>
      <c r="B56" s="14" t="s">
        <v>217</v>
      </c>
      <c r="C56" s="39" t="s">
        <v>23</v>
      </c>
      <c r="D56" s="53">
        <v>2</v>
      </c>
      <c r="E56" s="53">
        <v>1</v>
      </c>
      <c r="F56" s="53">
        <v>1</v>
      </c>
      <c r="G56" s="53">
        <v>4</v>
      </c>
      <c r="H56" s="12">
        <v>3</v>
      </c>
      <c r="I56" s="45">
        <v>20</v>
      </c>
      <c r="J56" s="45">
        <v>20</v>
      </c>
      <c r="K56" s="45">
        <v>60</v>
      </c>
      <c r="L56" s="12"/>
      <c r="M56" s="12"/>
      <c r="N56" s="12">
        <v>100</v>
      </c>
    </row>
    <row r="57" spans="1:14" ht="15.75" x14ac:dyDescent="0.25">
      <c r="A57" s="13" t="s">
        <v>218</v>
      </c>
      <c r="B57" s="14" t="s">
        <v>219</v>
      </c>
      <c r="C57" s="39" t="s">
        <v>23</v>
      </c>
      <c r="D57" s="53">
        <v>2</v>
      </c>
      <c r="E57" s="53">
        <v>1</v>
      </c>
      <c r="F57" s="53">
        <v>1</v>
      </c>
      <c r="G57" s="53">
        <v>4</v>
      </c>
      <c r="H57" s="12">
        <v>3</v>
      </c>
      <c r="I57" s="45">
        <v>20</v>
      </c>
      <c r="J57" s="45">
        <v>20</v>
      </c>
      <c r="K57" s="12">
        <v>60</v>
      </c>
      <c r="L57" s="12"/>
      <c r="M57" s="12"/>
      <c r="N57" s="12">
        <v>100</v>
      </c>
    </row>
    <row r="58" spans="1:14" ht="15.75" x14ac:dyDescent="0.25">
      <c r="A58" s="13" t="s">
        <v>220</v>
      </c>
      <c r="B58" s="14" t="s">
        <v>221</v>
      </c>
      <c r="C58" s="39" t="s">
        <v>23</v>
      </c>
      <c r="D58" s="53">
        <v>2</v>
      </c>
      <c r="E58" s="53">
        <v>1</v>
      </c>
      <c r="F58" s="53">
        <v>1</v>
      </c>
      <c r="G58" s="53">
        <v>4</v>
      </c>
      <c r="H58" s="12">
        <v>3</v>
      </c>
      <c r="I58" s="45">
        <v>20</v>
      </c>
      <c r="J58" s="45">
        <v>20</v>
      </c>
      <c r="K58" s="12">
        <v>60</v>
      </c>
      <c r="L58" s="12"/>
      <c r="M58" s="12"/>
      <c r="N58" s="12">
        <v>100</v>
      </c>
    </row>
    <row r="59" spans="1:14" ht="15.75" x14ac:dyDescent="0.25">
      <c r="A59" s="13" t="s">
        <v>222</v>
      </c>
      <c r="B59" s="14" t="s">
        <v>223</v>
      </c>
      <c r="C59" s="39" t="s">
        <v>23</v>
      </c>
      <c r="D59" s="53">
        <v>2</v>
      </c>
      <c r="E59" s="53">
        <v>1</v>
      </c>
      <c r="F59" s="53">
        <v>1</v>
      </c>
      <c r="G59" s="53">
        <v>4</v>
      </c>
      <c r="H59" s="12">
        <v>3</v>
      </c>
      <c r="I59" s="45">
        <v>20</v>
      </c>
      <c r="J59" s="45">
        <v>20</v>
      </c>
      <c r="K59" s="12">
        <v>60</v>
      </c>
      <c r="L59" s="12"/>
      <c r="M59" s="12"/>
      <c r="N59" s="12">
        <v>100</v>
      </c>
    </row>
    <row r="60" spans="1:14" ht="15.75" x14ac:dyDescent="0.25">
      <c r="A60" s="13" t="s">
        <v>224</v>
      </c>
      <c r="B60" s="14" t="s">
        <v>225</v>
      </c>
      <c r="C60" s="39" t="s">
        <v>23</v>
      </c>
      <c r="D60" s="53">
        <v>2</v>
      </c>
      <c r="E60" s="53">
        <v>1</v>
      </c>
      <c r="F60" s="53">
        <v>1</v>
      </c>
      <c r="G60" s="53">
        <v>4</v>
      </c>
      <c r="H60" s="12">
        <v>3</v>
      </c>
      <c r="I60" s="45">
        <v>20</v>
      </c>
      <c r="J60" s="45">
        <v>20</v>
      </c>
      <c r="K60" s="12">
        <v>60</v>
      </c>
      <c r="L60" s="12"/>
      <c r="M60" s="12"/>
      <c r="N60" s="12">
        <v>100</v>
      </c>
    </row>
    <row r="61" spans="1:14" ht="15.75" x14ac:dyDescent="0.25">
      <c r="A61" s="13" t="s">
        <v>226</v>
      </c>
      <c r="B61" s="14" t="s">
        <v>227</v>
      </c>
      <c r="C61" s="39" t="s">
        <v>23</v>
      </c>
      <c r="D61" s="53">
        <v>2</v>
      </c>
      <c r="E61" s="53">
        <v>1</v>
      </c>
      <c r="F61" s="53">
        <v>1</v>
      </c>
      <c r="G61" s="53">
        <v>4</v>
      </c>
      <c r="H61" s="12">
        <v>3</v>
      </c>
      <c r="I61" s="45">
        <v>20</v>
      </c>
      <c r="J61" s="45">
        <v>20</v>
      </c>
      <c r="K61" s="12">
        <v>60</v>
      </c>
      <c r="L61" s="12"/>
      <c r="M61" s="12"/>
      <c r="N61" s="12">
        <v>100</v>
      </c>
    </row>
    <row r="62" spans="1:14" ht="15.75" x14ac:dyDescent="0.25">
      <c r="A62" s="13" t="s">
        <v>228</v>
      </c>
      <c r="B62" s="14" t="s">
        <v>229</v>
      </c>
      <c r="C62" s="39" t="s">
        <v>23</v>
      </c>
      <c r="D62" s="53">
        <v>2</v>
      </c>
      <c r="E62" s="53">
        <v>1</v>
      </c>
      <c r="F62" s="53">
        <v>1</v>
      </c>
      <c r="G62" s="53">
        <v>4</v>
      </c>
      <c r="H62" s="12">
        <v>3</v>
      </c>
      <c r="I62" s="45">
        <v>20</v>
      </c>
      <c r="J62" s="45">
        <v>20</v>
      </c>
      <c r="K62" s="12">
        <v>60</v>
      </c>
      <c r="L62" s="12"/>
      <c r="M62" s="12"/>
      <c r="N62" s="12">
        <v>100</v>
      </c>
    </row>
    <row r="63" spans="1:14" ht="15.75" x14ac:dyDescent="0.25">
      <c r="A63" s="13" t="s">
        <v>230</v>
      </c>
      <c r="B63" s="14" t="s">
        <v>231</v>
      </c>
      <c r="C63" s="39" t="s">
        <v>23</v>
      </c>
      <c r="D63" s="53">
        <v>2</v>
      </c>
      <c r="E63" s="53">
        <v>1</v>
      </c>
      <c r="F63" s="53">
        <v>1</v>
      </c>
      <c r="G63" s="53">
        <v>4</v>
      </c>
      <c r="H63" s="12">
        <v>3</v>
      </c>
      <c r="I63" s="45">
        <v>20</v>
      </c>
      <c r="J63" s="45">
        <v>20</v>
      </c>
      <c r="K63" s="12">
        <v>60</v>
      </c>
      <c r="L63" s="12"/>
      <c r="M63" s="12"/>
      <c r="N63" s="12">
        <v>100</v>
      </c>
    </row>
    <row r="64" spans="1:14" ht="15.75" x14ac:dyDescent="0.25">
      <c r="A64" s="13"/>
      <c r="B64" s="16"/>
      <c r="C64" s="13" t="s">
        <v>5</v>
      </c>
      <c r="D64" s="40"/>
      <c r="E64" s="40"/>
      <c r="F64" s="40"/>
      <c r="G64" s="40"/>
      <c r="H64" s="6">
        <v>12</v>
      </c>
      <c r="I64" s="12">
        <v>80</v>
      </c>
      <c r="J64" s="12">
        <v>80</v>
      </c>
      <c r="K64" s="6">
        <v>240</v>
      </c>
      <c r="L64" s="6"/>
      <c r="M64" s="6"/>
      <c r="N64" s="6">
        <v>400</v>
      </c>
    </row>
    <row r="65" spans="1:14" ht="15.75" x14ac:dyDescent="0.25">
      <c r="A65" s="64" t="s">
        <v>232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6"/>
    </row>
    <row r="66" spans="1:14" ht="15.75" x14ac:dyDescent="0.25">
      <c r="A66" s="13" t="s">
        <v>233</v>
      </c>
      <c r="B66" s="14" t="s">
        <v>234</v>
      </c>
      <c r="C66" s="15" t="s">
        <v>36</v>
      </c>
      <c r="D66" s="9">
        <v>2</v>
      </c>
      <c r="E66" s="9">
        <v>1</v>
      </c>
      <c r="F66" s="9">
        <v>0</v>
      </c>
      <c r="G66" s="45">
        <v>3</v>
      </c>
      <c r="H66" s="12">
        <v>3</v>
      </c>
      <c r="I66" s="45">
        <v>20</v>
      </c>
      <c r="J66" s="45">
        <v>20</v>
      </c>
      <c r="K66" s="45">
        <v>60</v>
      </c>
      <c r="L66" s="45"/>
      <c r="M66" s="45"/>
      <c r="N66" s="6">
        <v>100</v>
      </c>
    </row>
    <row r="67" spans="1:14" ht="15.75" x14ac:dyDescent="0.25">
      <c r="A67" s="40"/>
      <c r="B67" s="40"/>
      <c r="C67" s="13" t="s">
        <v>5</v>
      </c>
      <c r="D67" s="40"/>
      <c r="E67" s="40"/>
      <c r="F67" s="40"/>
      <c r="G67" s="40"/>
      <c r="H67" s="6">
        <v>3</v>
      </c>
      <c r="I67" s="45">
        <v>20</v>
      </c>
      <c r="J67" s="45">
        <v>20</v>
      </c>
      <c r="K67" s="45">
        <v>60</v>
      </c>
      <c r="L67" s="45"/>
      <c r="M67" s="45"/>
      <c r="N67" s="6">
        <v>100</v>
      </c>
    </row>
    <row r="68" spans="1:14" ht="18.75" x14ac:dyDescent="0.3">
      <c r="A68" s="67" t="s">
        <v>235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9"/>
    </row>
    <row r="69" spans="1:14" ht="15.75" x14ac:dyDescent="0.25">
      <c r="A69" s="13" t="s">
        <v>236</v>
      </c>
      <c r="B69" s="14" t="s">
        <v>237</v>
      </c>
      <c r="C69" s="15" t="s">
        <v>23</v>
      </c>
      <c r="D69" s="9">
        <v>2</v>
      </c>
      <c r="E69" s="9">
        <v>1</v>
      </c>
      <c r="F69" s="9">
        <v>0</v>
      </c>
      <c r="G69" s="12">
        <v>3</v>
      </c>
      <c r="H69" s="12">
        <v>3</v>
      </c>
      <c r="I69" s="45">
        <v>20</v>
      </c>
      <c r="J69" s="45">
        <v>20</v>
      </c>
      <c r="K69" s="45">
        <v>60</v>
      </c>
      <c r="L69" s="12"/>
      <c r="M69" s="11"/>
      <c r="N69" s="12">
        <v>100</v>
      </c>
    </row>
    <row r="70" spans="1:14" ht="15.75" x14ac:dyDescent="0.25">
      <c r="A70" s="13" t="s">
        <v>238</v>
      </c>
      <c r="B70" s="14" t="s">
        <v>239</v>
      </c>
      <c r="C70" s="15" t="s">
        <v>23</v>
      </c>
      <c r="D70" s="9">
        <v>2</v>
      </c>
      <c r="E70" s="9">
        <v>1</v>
      </c>
      <c r="F70" s="9">
        <v>0</v>
      </c>
      <c r="G70" s="12">
        <v>3</v>
      </c>
      <c r="H70" s="12">
        <v>3</v>
      </c>
      <c r="I70" s="45">
        <v>20</v>
      </c>
      <c r="J70" s="45">
        <v>20</v>
      </c>
      <c r="K70" s="12">
        <v>60</v>
      </c>
      <c r="L70" s="12"/>
      <c r="M70" s="11"/>
      <c r="N70" s="12">
        <v>100</v>
      </c>
    </row>
    <row r="71" spans="1:14" ht="15.75" x14ac:dyDescent="0.25">
      <c r="A71" s="13" t="s">
        <v>240</v>
      </c>
      <c r="B71" s="14" t="s">
        <v>241</v>
      </c>
      <c r="C71" s="15" t="s">
        <v>23</v>
      </c>
      <c r="D71" s="9">
        <v>2</v>
      </c>
      <c r="E71" s="9">
        <v>1</v>
      </c>
      <c r="F71" s="9">
        <v>0</v>
      </c>
      <c r="G71" s="12">
        <v>3</v>
      </c>
      <c r="H71" s="12">
        <v>3</v>
      </c>
      <c r="I71" s="45">
        <v>20</v>
      </c>
      <c r="J71" s="45">
        <v>20</v>
      </c>
      <c r="K71" s="12">
        <v>60</v>
      </c>
      <c r="L71" s="12"/>
      <c r="M71" s="11"/>
      <c r="N71" s="12">
        <v>100</v>
      </c>
    </row>
    <row r="72" spans="1:14" ht="15.75" x14ac:dyDescent="0.25">
      <c r="A72" s="13" t="s">
        <v>242</v>
      </c>
      <c r="B72" s="14" t="s">
        <v>243</v>
      </c>
      <c r="C72" s="15" t="s">
        <v>23</v>
      </c>
      <c r="D72" s="9">
        <v>2</v>
      </c>
      <c r="E72" s="9">
        <v>1</v>
      </c>
      <c r="F72" s="9">
        <v>0</v>
      </c>
      <c r="G72" s="12">
        <v>3</v>
      </c>
      <c r="H72" s="12">
        <v>3</v>
      </c>
      <c r="I72" s="45">
        <v>20</v>
      </c>
      <c r="J72" s="45">
        <v>20</v>
      </c>
      <c r="K72" s="12">
        <v>60</v>
      </c>
      <c r="L72" s="12"/>
      <c r="M72" s="11"/>
      <c r="N72" s="12">
        <v>100</v>
      </c>
    </row>
    <row r="73" spans="1:14" ht="15.75" x14ac:dyDescent="0.25">
      <c r="A73" s="13" t="s">
        <v>244</v>
      </c>
      <c r="B73" s="14" t="s">
        <v>245</v>
      </c>
      <c r="C73" s="15" t="s">
        <v>23</v>
      </c>
      <c r="D73" s="9">
        <v>2</v>
      </c>
      <c r="E73" s="9">
        <v>1</v>
      </c>
      <c r="F73" s="9">
        <v>0</v>
      </c>
      <c r="G73" s="12">
        <v>3</v>
      </c>
      <c r="H73" s="12">
        <v>3</v>
      </c>
      <c r="I73" s="45">
        <v>20</v>
      </c>
      <c r="J73" s="45">
        <v>20</v>
      </c>
      <c r="K73" s="12">
        <v>60</v>
      </c>
      <c r="L73" s="12"/>
      <c r="M73" s="11"/>
      <c r="N73" s="12">
        <v>100</v>
      </c>
    </row>
    <row r="74" spans="1:14" ht="15.75" x14ac:dyDescent="0.25">
      <c r="A74" s="13" t="s">
        <v>246</v>
      </c>
      <c r="B74" s="14" t="s">
        <v>247</v>
      </c>
      <c r="C74" s="15" t="s">
        <v>23</v>
      </c>
      <c r="D74" s="9">
        <v>2</v>
      </c>
      <c r="E74" s="9">
        <v>1</v>
      </c>
      <c r="F74" s="9">
        <v>0</v>
      </c>
      <c r="G74" s="12">
        <v>3</v>
      </c>
      <c r="H74" s="12">
        <v>3</v>
      </c>
      <c r="I74" s="45">
        <v>20</v>
      </c>
      <c r="J74" s="45">
        <v>20</v>
      </c>
      <c r="K74" s="12">
        <v>60</v>
      </c>
      <c r="L74" s="12"/>
      <c r="M74" s="11"/>
      <c r="N74" s="12">
        <v>100</v>
      </c>
    </row>
    <row r="75" spans="1:14" ht="15.75" x14ac:dyDescent="0.25">
      <c r="A75" s="13" t="s">
        <v>248</v>
      </c>
      <c r="B75" s="14" t="s">
        <v>249</v>
      </c>
      <c r="C75" s="15" t="s">
        <v>23</v>
      </c>
      <c r="D75" s="9">
        <v>2</v>
      </c>
      <c r="E75" s="9">
        <v>1</v>
      </c>
      <c r="F75" s="9">
        <v>0</v>
      </c>
      <c r="G75" s="12">
        <v>3</v>
      </c>
      <c r="H75" s="12">
        <v>3</v>
      </c>
      <c r="I75" s="45">
        <v>20</v>
      </c>
      <c r="J75" s="45">
        <v>20</v>
      </c>
      <c r="K75" s="12">
        <v>60</v>
      </c>
      <c r="L75" s="12"/>
      <c r="M75" s="11"/>
      <c r="N75" s="12">
        <v>100</v>
      </c>
    </row>
    <row r="76" spans="1:14" ht="15.75" x14ac:dyDescent="0.25">
      <c r="A76" s="13" t="s">
        <v>250</v>
      </c>
      <c r="B76" s="14" t="s">
        <v>251</v>
      </c>
      <c r="C76" s="15" t="s">
        <v>23</v>
      </c>
      <c r="D76" s="9">
        <v>2</v>
      </c>
      <c r="E76" s="9">
        <v>1</v>
      </c>
      <c r="F76" s="9">
        <v>0</v>
      </c>
      <c r="G76" s="12">
        <v>3</v>
      </c>
      <c r="H76" s="12">
        <v>3</v>
      </c>
      <c r="I76" s="45">
        <v>20</v>
      </c>
      <c r="J76" s="45">
        <v>20</v>
      </c>
      <c r="K76" s="12">
        <v>60</v>
      </c>
      <c r="L76" s="12"/>
      <c r="M76" s="11"/>
      <c r="N76" s="12">
        <v>100</v>
      </c>
    </row>
    <row r="77" spans="1:14" ht="16.5" thickBot="1" x14ac:dyDescent="0.3">
      <c r="A77" s="13" t="s">
        <v>259</v>
      </c>
      <c r="B77" s="30" t="s">
        <v>256</v>
      </c>
      <c r="C77" s="15"/>
      <c r="D77" s="11"/>
      <c r="E77" s="11"/>
      <c r="F77" s="12">
        <v>2</v>
      </c>
      <c r="G77" s="12">
        <v>2</v>
      </c>
      <c r="H77" s="12">
        <v>2</v>
      </c>
      <c r="I77" s="38">
        <v>50</v>
      </c>
      <c r="J77" s="12"/>
      <c r="K77" s="12"/>
      <c r="L77" s="12"/>
      <c r="M77" s="12"/>
      <c r="N77" s="38">
        <v>50</v>
      </c>
    </row>
    <row r="78" spans="1:14" ht="16.5" thickBot="1" x14ac:dyDescent="0.3">
      <c r="A78" s="13" t="s">
        <v>260</v>
      </c>
      <c r="B78" s="30" t="s">
        <v>257</v>
      </c>
      <c r="C78" s="15"/>
      <c r="D78" s="11"/>
      <c r="E78" s="11"/>
      <c r="F78" s="12">
        <v>2</v>
      </c>
      <c r="G78" s="12">
        <v>2</v>
      </c>
      <c r="H78" s="12">
        <v>2</v>
      </c>
      <c r="I78" s="38">
        <v>50</v>
      </c>
      <c r="J78" s="12"/>
      <c r="K78" s="12"/>
      <c r="L78" s="12"/>
      <c r="M78" s="12"/>
      <c r="N78" s="38">
        <v>50</v>
      </c>
    </row>
    <row r="79" spans="1:14" ht="15.75" x14ac:dyDescent="0.25">
      <c r="A79" s="40"/>
      <c r="B79" s="40"/>
      <c r="C79" s="13" t="s">
        <v>5</v>
      </c>
      <c r="D79" s="11"/>
      <c r="E79" s="11"/>
      <c r="F79" s="41"/>
      <c r="G79" s="41"/>
      <c r="H79" s="42">
        <v>12</v>
      </c>
      <c r="I79" s="11">
        <v>80</v>
      </c>
      <c r="J79" s="11">
        <v>80</v>
      </c>
      <c r="K79" s="6">
        <v>240</v>
      </c>
      <c r="L79" s="6"/>
      <c r="M79" s="11"/>
      <c r="N79" s="6">
        <v>400</v>
      </c>
    </row>
    <row r="80" spans="1:14" ht="15.75" x14ac:dyDescent="0.25">
      <c r="A80" s="40"/>
      <c r="B80" s="40"/>
      <c r="C80" s="3" t="s">
        <v>255</v>
      </c>
      <c r="D80" s="11"/>
      <c r="E80" s="11"/>
      <c r="F80" s="11"/>
      <c r="G80" s="11"/>
      <c r="H80" s="6">
        <v>26</v>
      </c>
      <c r="I80" s="11"/>
      <c r="J80" s="11"/>
      <c r="K80" s="6">
        <v>400</v>
      </c>
      <c r="L80" s="6"/>
      <c r="M80" s="11"/>
      <c r="N80" s="6">
        <v>800</v>
      </c>
    </row>
    <row r="81" spans="1:10" x14ac:dyDescent="0.25">
      <c r="A81" s="43"/>
      <c r="B81" s="43"/>
      <c r="C81" s="43"/>
    </row>
    <row r="82" spans="1:10" ht="15.75" thickBot="1" x14ac:dyDescent="0.3">
      <c r="A82" s="43"/>
      <c r="B82" s="43"/>
      <c r="C82" s="43"/>
    </row>
    <row r="83" spans="1:10" ht="15.75" thickBot="1" x14ac:dyDescent="0.3">
      <c r="A83" s="43"/>
      <c r="B83" s="43"/>
      <c r="C83" s="43"/>
      <c r="G83" s="27" t="s">
        <v>24</v>
      </c>
      <c r="H83" s="28" t="s">
        <v>25</v>
      </c>
      <c r="I83" s="28" t="s">
        <v>26</v>
      </c>
      <c r="J83" s="28" t="s">
        <v>27</v>
      </c>
    </row>
    <row r="84" spans="1:10" ht="16.5" thickBot="1" x14ac:dyDescent="0.3">
      <c r="B84" s="32"/>
      <c r="C84" s="33"/>
      <c r="D84" s="33"/>
      <c r="G84" s="26">
        <v>1</v>
      </c>
      <c r="H84" s="25" t="s">
        <v>28</v>
      </c>
      <c r="I84" s="25">
        <v>26</v>
      </c>
      <c r="J84" s="25">
        <v>800</v>
      </c>
    </row>
    <row r="85" spans="1:10" ht="15.75" thickBot="1" x14ac:dyDescent="0.3">
      <c r="B85" s="34"/>
      <c r="C85" s="35"/>
      <c r="D85" s="35"/>
      <c r="G85" s="26">
        <v>1</v>
      </c>
      <c r="H85" s="25" t="s">
        <v>29</v>
      </c>
      <c r="I85" s="25">
        <v>26</v>
      </c>
      <c r="J85" s="25">
        <v>800</v>
      </c>
    </row>
    <row r="86" spans="1:10" ht="15.75" thickBot="1" x14ac:dyDescent="0.3">
      <c r="B86" s="34"/>
      <c r="C86" s="35"/>
      <c r="D86" s="35"/>
      <c r="G86" s="26">
        <v>2</v>
      </c>
      <c r="H86" s="25" t="s">
        <v>30</v>
      </c>
      <c r="I86" s="25">
        <v>26</v>
      </c>
      <c r="J86" s="25">
        <v>800</v>
      </c>
    </row>
    <row r="87" spans="1:10" ht="15.75" thickBot="1" x14ac:dyDescent="0.3">
      <c r="B87" s="34"/>
      <c r="C87" s="35"/>
      <c r="D87" s="35"/>
      <c r="G87" s="26">
        <v>2</v>
      </c>
      <c r="H87" s="25" t="s">
        <v>31</v>
      </c>
      <c r="I87" s="25">
        <v>26</v>
      </c>
      <c r="J87" s="25">
        <v>800</v>
      </c>
    </row>
    <row r="88" spans="1:10" ht="15.75" thickBot="1" x14ac:dyDescent="0.3">
      <c r="B88" s="34"/>
      <c r="C88" s="35"/>
      <c r="D88" s="35"/>
      <c r="G88" s="29" t="s">
        <v>5</v>
      </c>
      <c r="H88" s="25" t="s">
        <v>31</v>
      </c>
      <c r="I88" s="25">
        <v>104</v>
      </c>
      <c r="J88" s="25">
        <v>3200</v>
      </c>
    </row>
    <row r="89" spans="1:10" x14ac:dyDescent="0.25">
      <c r="B89" s="34"/>
      <c r="C89" s="35"/>
      <c r="D89" s="35"/>
    </row>
    <row r="90" spans="1:10" x14ac:dyDescent="0.25">
      <c r="B90" s="33"/>
      <c r="C90" s="35"/>
      <c r="D90" s="35"/>
    </row>
    <row r="96" spans="1:10" ht="14.45" customHeight="1" x14ac:dyDescent="0.25">
      <c r="B96" s="43"/>
      <c r="C96" s="43"/>
    </row>
    <row r="98" spans="2:8" x14ac:dyDescent="0.25">
      <c r="B98" s="76" t="s">
        <v>261</v>
      </c>
      <c r="C98" s="77" t="s">
        <v>254</v>
      </c>
      <c r="D98" s="77"/>
      <c r="G98" s="78" t="s">
        <v>252</v>
      </c>
      <c r="H98" s="78"/>
    </row>
    <row r="99" spans="2:8" x14ac:dyDescent="0.25">
      <c r="B99" s="76"/>
      <c r="C99" s="77"/>
      <c r="D99" s="77"/>
      <c r="G99" s="78"/>
      <c r="H99" s="78"/>
    </row>
  </sheetData>
  <mergeCells count="26">
    <mergeCell ref="B98:B99"/>
    <mergeCell ref="C98:D99"/>
    <mergeCell ref="G98:H99"/>
    <mergeCell ref="A1:N1"/>
    <mergeCell ref="A2:N2"/>
    <mergeCell ref="A3:A6"/>
    <mergeCell ref="B3:B6"/>
    <mergeCell ref="C3:C6"/>
    <mergeCell ref="D3:G5"/>
    <mergeCell ref="H3:H6"/>
    <mergeCell ref="I3:N3"/>
    <mergeCell ref="I4:K4"/>
    <mergeCell ref="L4:M4"/>
    <mergeCell ref="I5:J5"/>
    <mergeCell ref="A7:N7"/>
    <mergeCell ref="A13:N13"/>
    <mergeCell ref="N4:N5"/>
    <mergeCell ref="A16:N16"/>
    <mergeCell ref="A26:N26"/>
    <mergeCell ref="A68:N68"/>
    <mergeCell ref="A29:N29"/>
    <mergeCell ref="A39:N39"/>
    <mergeCell ref="A42:N42"/>
    <mergeCell ref="A52:N52"/>
    <mergeCell ref="A55:N55"/>
    <mergeCell ref="A65:N65"/>
  </mergeCells>
  <pageMargins left="0.7" right="0.7" top="0.75" bottom="0.75" header="0.3" footer="0.3"/>
  <pageSetup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612B0C0EED5641AB0A5C4DA197601D" ma:contentTypeVersion="18" ma:contentTypeDescription="Create a new document." ma:contentTypeScope="" ma:versionID="3f7e3c8e88a9d6886ef486d9c3eaef44">
  <xsd:schema xmlns:xsd="http://www.w3.org/2001/XMLSchema" xmlns:xs="http://www.w3.org/2001/XMLSchema" xmlns:p="http://schemas.microsoft.com/office/2006/metadata/properties" xmlns:ns3="75b29222-64c5-487a-9a95-02c5f919a1ea" xmlns:ns4="fca3a386-41c8-4f13-991e-36e6671e717b" targetNamespace="http://schemas.microsoft.com/office/2006/metadata/properties" ma:root="true" ma:fieldsID="8c2214caab5e98e865479fb6f46b3e59" ns3:_="" ns4:_="">
    <xsd:import namespace="75b29222-64c5-487a-9a95-02c5f919a1ea"/>
    <xsd:import namespace="fca3a386-41c8-4f13-991e-36e6671e717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29222-64c5-487a-9a95-02c5f919a1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3a386-41c8-4f13-991e-36e6671e71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a3a386-41c8-4f13-991e-36e6671e717b" xsi:nil="true"/>
  </documentManagement>
</p:properties>
</file>

<file path=customXml/itemProps1.xml><?xml version="1.0" encoding="utf-8"?>
<ds:datastoreItem xmlns:ds="http://schemas.openxmlformats.org/officeDocument/2006/customXml" ds:itemID="{8D0689E9-4402-4B95-98C0-0685147AF3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C0C239-38F6-42FA-BCA3-138558903E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b29222-64c5-487a-9a95-02c5f919a1ea"/>
    <ds:schemaRef ds:uri="fca3a386-41c8-4f13-991e-36e6671e71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BC0D6E-1BF5-4DBC-B43F-1A78BC0C7CA9}">
  <ds:schemaRefs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fca3a386-41c8-4f13-991e-36e6671e717b"/>
    <ds:schemaRef ds:uri="75b29222-64c5-487a-9a95-02c5f919a1e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Semester III</vt:lpstr>
      <vt:lpstr>Semester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Priyanka Pawar</dc:creator>
  <cp:lastModifiedBy>akshay surve</cp:lastModifiedBy>
  <dcterms:created xsi:type="dcterms:W3CDTF">2026-03-28T08:58:50Z</dcterms:created>
  <dcterms:modified xsi:type="dcterms:W3CDTF">2026-06-26T04:20:31Z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0x010100FA612B0C0EED5641AB0A5C4DA197601D</vt:lpwstr>
  </property>
</Properties>
</file>